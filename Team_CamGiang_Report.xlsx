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Tiến độ Team" sheetId="2" state="visible" r:id="rId2"/>
    <sheet name="Chi tiết CVS" sheetId="3" state="visible" r:id="rId3"/>
    <sheet name="Data BHX" sheetId="4" state="visible" r:id="rId4"/>
    <sheet name="Config" sheetId="5" state="visible" r:id="rId5"/>
    <sheet name="Chi tiết SKU FamilyMart" sheetId="6" state="visible" r:id="rId6"/>
  </sheets>
  <definedNames>
    <definedName name="_xlnm._FilterDatabase" localSheetId="5" hidden="1">'Chi tiết SKU FamilyMart'!$A$5:$BB$40</definedName>
  </definedNames>
  <calcPr calcId="124519" fullCalcOnLoad="1"/>
</workbook>
</file>

<file path=xl/styles.xml><?xml version="1.0" encoding="utf-8"?>
<styleSheet xmlns="http://schemas.openxmlformats.org/spreadsheetml/2006/main">
  <numFmts count="2">
    <numFmt numFmtId="164" formatCode="0.0%"/>
    <numFmt numFmtId="165" formatCode="#,##0;[Red](#,##0)"/>
  </numFmts>
  <fonts count="30">
    <font>
      <name val="Calibri"/>
      <family val="2"/>
      <color theme="1"/>
      <sz val="11"/>
      <scheme val="minor"/>
    </font>
    <font>
      <b val="1"/>
      <color rgb="00FFFFFF"/>
      <sz val="16"/>
    </font>
    <font>
      <b val="1"/>
    </font>
    <font>
      <b val="1"/>
      <color rgb="00C00000"/>
    </font>
    <font>
      <b val="1"/>
      <color rgb="001F4E78"/>
      <sz val="13"/>
    </font>
    <font>
      <b val="1"/>
      <color rgb="00FFFFFF"/>
      <sz val="10"/>
    </font>
    <font>
      <b val="1"/>
      <sz val="12"/>
    </font>
    <font>
      <b val="1"/>
      <color rgb="00FFFFFF"/>
      <sz val="11"/>
    </font>
    <font>
      <b val="1"/>
      <color rgb="00FFFFFF"/>
      <sz val="14"/>
    </font>
    <font>
      <b val="1"/>
      <color rgb="00C00000"/>
      <sz val="12"/>
    </font>
    <font>
      <b val="1"/>
      <sz val="11"/>
    </font>
    <font>
      <b val="1"/>
      <color rgb="00FFFFFF"/>
      <sz val="12"/>
    </font>
    <font>
      <b val="1"/>
      <color rgb="00FFFFFF"/>
    </font>
    <font>
      <b val="1"/>
      <color rgb="00FFFF00"/>
      <sz val="12"/>
    </font>
    <font>
      <i val="1"/>
      <color rgb="00555555"/>
      <sz val="10"/>
    </font>
    <font>
      <i val="1"/>
      <color rgb="00555555"/>
      <sz val="9"/>
    </font>
    <font>
      <b val="1"/>
      <color rgb="00FFFF00"/>
      <sz val="11"/>
    </font>
    <font>
      <sz val="10"/>
    </font>
    <font>
      <b val="1"/>
      <color rgb="00FFFFFF"/>
      <sz val="13"/>
    </font>
    <font>
      <b val="1"/>
      <color rgb="00FFFF00"/>
    </font>
    <font>
      <b val="1"/>
      <color rgb="00555555"/>
      <sz val="9"/>
    </font>
    <font>
      <b val="1"/>
      <color rgb="001F4E78"/>
      <sz val="11"/>
    </font>
    <font>
      <b val="1"/>
      <color rgb="00C00000"/>
      <sz val="11"/>
    </font>
    <font>
      <b val="1"/>
      <color rgb="00000000"/>
      <sz val="9"/>
    </font>
    <font>
      <b val="1"/>
      <color rgb="00FFFFFF"/>
      <sz val="9"/>
    </font>
    <font>
      <b val="1"/>
      <color rgb="00000000"/>
      <sz val="10"/>
    </font>
    <font>
      <b val="1"/>
      <color rgb="001F4E78"/>
      <sz val="8"/>
    </font>
    <font>
      <sz val="9"/>
    </font>
    <font>
      <color rgb="00000000"/>
      <sz val="9"/>
    </font>
    <font>
      <color rgb="00A0A0A0"/>
      <sz val="9"/>
    </font>
  </fonts>
  <fills count="31">
    <fill>
      <patternFill/>
    </fill>
    <fill>
      <patternFill patternType="gray125"/>
    </fill>
    <fill>
      <patternFill patternType="solid">
        <fgColor rgb="001F4E78"/>
      </patternFill>
    </fill>
    <fill>
      <patternFill patternType="solid">
        <fgColor rgb="00FFF2CC"/>
      </patternFill>
    </fill>
    <fill>
      <patternFill patternType="solid">
        <fgColor rgb="00FFF9E6"/>
      </patternFill>
    </fill>
    <fill>
      <patternFill patternType="solid">
        <fgColor rgb="004472C4"/>
      </patternFill>
    </fill>
    <fill>
      <patternFill patternType="solid">
        <fgColor rgb="00F2F2F2"/>
      </patternFill>
    </fill>
    <fill>
      <patternFill patternType="solid">
        <fgColor rgb="0070AD47"/>
      </patternFill>
    </fill>
    <fill>
      <patternFill patternType="solid">
        <fgColor rgb="00ED7D31"/>
      </patternFill>
    </fill>
    <fill>
      <patternFill patternType="solid">
        <fgColor rgb="002E75B6"/>
      </patternFill>
    </fill>
    <fill>
      <patternFill patternType="solid">
        <fgColor rgb="00DD2323"/>
      </patternFill>
    </fill>
    <fill>
      <patternFill patternType="solid">
        <fgColor rgb="00F5991F"/>
      </patternFill>
    </fill>
    <fill>
      <patternFill patternType="solid">
        <fgColor rgb="00C00000"/>
      </patternFill>
    </fill>
    <fill>
      <patternFill patternType="solid">
        <fgColor rgb="0000B050"/>
      </patternFill>
    </fill>
    <fill>
      <patternFill patternType="solid">
        <fgColor rgb="00D9534F"/>
      </patternFill>
    </fill>
    <fill>
      <patternFill patternType="solid">
        <fgColor rgb="00008080"/>
      </patternFill>
    </fill>
    <fill>
      <patternFill patternType="solid">
        <fgColor rgb="00FCE4D6"/>
      </patternFill>
    </fill>
    <fill>
      <patternFill patternType="solid">
        <fgColor rgb="00FFE699"/>
      </patternFill>
    </fill>
    <fill>
      <patternFill patternType="solid">
        <fgColor rgb="00F8CBAD"/>
      </patternFill>
    </fill>
    <fill>
      <patternFill patternType="solid">
        <fgColor rgb="00F4B084"/>
      </patternFill>
    </fill>
    <fill>
      <patternFill patternType="solid">
        <fgColor rgb="00C6E0B4"/>
      </patternFill>
    </fill>
    <fill>
      <patternFill patternType="solid">
        <fgColor rgb="00BDD7EE"/>
      </patternFill>
    </fill>
    <fill>
      <patternFill patternType="solid">
        <fgColor rgb="00B4C6E7"/>
      </patternFill>
    </fill>
    <fill>
      <patternFill patternType="solid">
        <fgColor rgb="00D9D2E9"/>
      </patternFill>
    </fill>
    <fill>
      <patternFill patternType="solid">
        <fgColor rgb="00FAFAFA"/>
      </patternFill>
    </fill>
    <fill>
      <patternFill patternType="solid">
        <fgColor rgb="00F2F9F2"/>
      </patternFill>
    </fill>
    <fill>
      <patternFill patternType="solid">
        <fgColor rgb="00E2EFDA"/>
      </patternFill>
    </fill>
    <fill>
      <patternFill patternType="solid">
        <fgColor rgb="00DDEBF7"/>
      </patternFill>
    </fill>
    <fill>
      <patternFill patternType="solid">
        <fgColor rgb="00D9E1F2"/>
      </patternFill>
    </fill>
    <fill>
      <patternFill patternType="solid">
        <fgColor rgb="00EAD1DC"/>
      </patternFill>
    </fill>
    <fill>
      <patternFill patternType="solid">
        <fgColor rgb="00FFFFFF"/>
      </patternFill>
    </fill>
  </fills>
  <borders count="6">
    <border>
      <left/>
      <right/>
      <top/>
      <bottom/>
      <diagonal/>
    </border>
    <border>
      <left style="thin">
        <color rgb="00B4B4B4"/>
      </left>
      <right style="thin">
        <color rgb="00B4B4B4"/>
      </right>
      <top style="thin">
        <color rgb="00B4B4B4"/>
      </top>
      <bottom style="thin">
        <color rgb="00B4B4B4"/>
      </bottom>
    </border>
    <border>
      <left/>
      <right/>
      <top style="thin">
        <color rgb="00B4B4B4"/>
      </top>
      <bottom/>
      <diagonal/>
    </border>
    <border>
      <left/>
      <right style="thin">
        <color rgb="00B4B4B4"/>
      </right>
      <top style="thin">
        <color rgb="00B4B4B4"/>
      </top>
      <bottom/>
      <diagonal/>
    </border>
    <border>
      <left/>
      <right/>
      <top style="thin">
        <color rgb="00B4B4B4"/>
      </top>
      <bottom style="thin">
        <color rgb="00B4B4B4"/>
      </bottom>
      <diagonal/>
    </border>
    <border>
      <left/>
      <right style="thin">
        <color rgb="00B4B4B4"/>
      </right>
      <top style="thin">
        <color rgb="00B4B4B4"/>
      </top>
      <bottom style="thin">
        <color rgb="00B4B4B4"/>
      </bottom>
      <diagonal/>
    </border>
  </borders>
  <cellStyleXfs count="1">
    <xf numFmtId="0" fontId="0" fillId="0" borderId="0"/>
  </cellStyleXfs>
  <cellXfs count="109">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3" fillId="4" borderId="0" applyAlignment="1" pivotButton="0" quotePrefix="0" xfId="0">
      <alignment horizontal="center"/>
    </xf>
    <xf numFmtId="164" fontId="3" fillId="4" borderId="0" applyAlignment="1" pivotButton="0" quotePrefix="0" xfId="0">
      <alignment horizontal="center"/>
    </xf>
    <xf numFmtId="0" fontId="4" fillId="0" borderId="0" applyAlignment="1" pivotButton="0" quotePrefix="0" xfId="0">
      <alignment horizontal="center"/>
    </xf>
    <xf numFmtId="0" fontId="5" fillId="5" borderId="0" applyAlignment="1" pivotButton="0" quotePrefix="0" xfId="0">
      <alignment horizontal="center" vertical="center" wrapText="1"/>
    </xf>
    <xf numFmtId="0" fontId="5" fillId="7" borderId="0" applyAlignment="1" pivotButton="0" quotePrefix="0" xfId="0">
      <alignment horizontal="center" vertical="center" wrapText="1"/>
    </xf>
    <xf numFmtId="0" fontId="5" fillId="8" borderId="0" applyAlignment="1" pivotButton="0" quotePrefix="0" xfId="0">
      <alignment horizontal="center" vertical="center" wrapText="1"/>
    </xf>
    <xf numFmtId="0" fontId="5" fillId="9" borderId="0" applyAlignment="1" pivotButton="0" quotePrefix="0" xfId="0">
      <alignment horizontal="center" vertical="center" wrapText="1"/>
    </xf>
    <xf numFmtId="0" fontId="5" fillId="10" borderId="0" applyAlignment="1" pivotButton="0" quotePrefix="0" xfId="0">
      <alignment horizontal="center" vertical="center" wrapText="1"/>
    </xf>
    <xf numFmtId="0" fontId="5" fillId="11" borderId="0" applyAlignment="1" pivotButton="0" quotePrefix="0" xfId="0">
      <alignment horizontal="center" vertical="center" wrapText="1"/>
    </xf>
    <xf numFmtId="3" fontId="6" fillId="6" borderId="0" applyAlignment="1" pivotButton="0" quotePrefix="0" xfId="0">
      <alignment horizontal="center" vertical="center"/>
    </xf>
    <xf numFmtId="165" fontId="6" fillId="6" borderId="0" applyAlignment="1" pivotButton="0" quotePrefix="0" xfId="0">
      <alignment horizontal="center" vertical="center"/>
    </xf>
    <xf numFmtId="164" fontId="6" fillId="6" borderId="0" applyAlignment="1" pivotButton="0" quotePrefix="0" xfId="0">
      <alignment horizontal="center" vertical="center"/>
    </xf>
    <xf numFmtId="0" fontId="7" fillId="11" borderId="0" applyAlignment="1" pivotButton="0" quotePrefix="0" xfId="0">
      <alignment horizontal="center" vertical="center"/>
    </xf>
    <xf numFmtId="0" fontId="5" fillId="5" borderId="1" applyAlignment="1" pivotButton="0" quotePrefix="0" xfId="0">
      <alignment horizontal="center" vertical="center" wrapText="1"/>
    </xf>
    <xf numFmtId="0" fontId="2" fillId="0" borderId="1" applyAlignment="1" pivotButton="0" quotePrefix="0" xfId="0">
      <alignment horizontal="center"/>
    </xf>
    <xf numFmtId="0" fontId="2" fillId="0" borderId="1" pivotButton="0" quotePrefix="0" xfId="0"/>
    <xf numFmtId="3" fontId="0" fillId="0" borderId="1" pivotButton="0" quotePrefix="0" xfId="0"/>
    <xf numFmtId="164" fontId="2" fillId="0" borderId="1" applyAlignment="1" pivotButton="0" quotePrefix="0" xfId="0">
      <alignment horizontal="center"/>
    </xf>
    <xf numFmtId="0" fontId="8" fillId="2" borderId="0" applyAlignment="1" pivotButton="0" quotePrefix="0" xfId="0">
      <alignment horizontal="center" vertical="center" wrapText="1"/>
    </xf>
    <xf numFmtId="164" fontId="9" fillId="4" borderId="0" applyAlignment="1" pivotButton="0" quotePrefix="0" xfId="0">
      <alignment horizontal="center"/>
    </xf>
    <xf numFmtId="3" fontId="3" fillId="4" borderId="0" applyAlignment="1" pivotButton="0" quotePrefix="0" xfId="0">
      <alignment horizontal="center"/>
    </xf>
    <xf numFmtId="0" fontId="7" fillId="9" borderId="0" applyAlignment="1" pivotButton="0" quotePrefix="0" xfId="0">
      <alignment horizontal="center" vertical="center" wrapText="1"/>
    </xf>
    <xf numFmtId="0" fontId="7" fillId="10" borderId="0" applyAlignment="1" pivotButton="0" quotePrefix="0" xfId="0">
      <alignment horizontal="center" vertical="center" wrapText="1"/>
    </xf>
    <xf numFmtId="0" fontId="0" fillId="0" borderId="1" applyAlignment="1" pivotButton="0" quotePrefix="0" xfId="0">
      <alignment horizontal="center"/>
    </xf>
    <xf numFmtId="165" fontId="0" fillId="0" borderId="1" applyAlignment="1" pivotButton="0" quotePrefix="0" xfId="0">
      <alignment horizontal="right" vertical="center"/>
    </xf>
    <xf numFmtId="165" fontId="2" fillId="0" borderId="1" applyAlignment="1" pivotButton="0" quotePrefix="0" xfId="0">
      <alignment horizontal="right" vertical="center"/>
    </xf>
    <xf numFmtId="164" fontId="10" fillId="0" borderId="1" applyAlignment="1" pivotButton="0" quotePrefix="0" xfId="0">
      <alignment horizontal="center"/>
    </xf>
    <xf numFmtId="0" fontId="0" fillId="2" borderId="1" pivotButton="0" quotePrefix="0" xfId="0"/>
    <xf numFmtId="0" fontId="11" fillId="2" borderId="1" applyAlignment="1" pivotButton="0" quotePrefix="0" xfId="0">
      <alignment horizontal="center"/>
    </xf>
    <xf numFmtId="3" fontId="12" fillId="2" borderId="1" applyAlignment="1" pivotButton="0" quotePrefix="0" xfId="0">
      <alignment horizontal="right"/>
    </xf>
    <xf numFmtId="164" fontId="13" fillId="2" borderId="1" applyAlignment="1" pivotButton="0" quotePrefix="0" xfId="0">
      <alignment horizontal="center"/>
    </xf>
    <xf numFmtId="0" fontId="14" fillId="0" borderId="0" applyAlignment="1" pivotButton="0" quotePrefix="0" xfId="0">
      <alignment horizontal="center"/>
    </xf>
    <xf numFmtId="0" fontId="15" fillId="0" borderId="0" applyAlignment="1" pivotButton="0" quotePrefix="0" xfId="0">
      <alignment horizontal="center"/>
    </xf>
    <xf numFmtId="0" fontId="7" fillId="5" borderId="0" applyAlignment="1" pivotButton="0" quotePrefix="0" xfId="0">
      <alignment horizontal="left" vertical="center" indent="1"/>
    </xf>
    <xf numFmtId="0" fontId="12" fillId="5" borderId="0" applyAlignment="1" pivotButton="0" quotePrefix="0" xfId="0">
      <alignment horizontal="right"/>
    </xf>
    <xf numFmtId="3" fontId="16" fillId="5" borderId="0" applyAlignment="1" pivotButton="0" quotePrefix="0" xfId="0">
      <alignment horizontal="right"/>
    </xf>
    <xf numFmtId="0" fontId="0" fillId="0" borderId="0" applyAlignment="1" pivotButton="0" quotePrefix="0" xfId="0">
      <alignment horizontal="center"/>
    </xf>
    <xf numFmtId="0" fontId="5" fillId="5" borderId="0" applyAlignment="1" pivotButton="0" quotePrefix="0" xfId="0">
      <alignment horizontal="center"/>
    </xf>
    <xf numFmtId="0" fontId="17" fillId="0" borderId="0" pivotButton="0" quotePrefix="0" xfId="0"/>
    <xf numFmtId="3" fontId="0" fillId="0" borderId="0" applyAlignment="1" pivotButton="0" quotePrefix="0" xfId="0">
      <alignment horizontal="right"/>
    </xf>
    <xf numFmtId="0" fontId="5" fillId="8" borderId="0" applyAlignment="1" pivotButton="0" quotePrefix="0" xfId="0">
      <alignment horizontal="center"/>
    </xf>
    <xf numFmtId="0" fontId="5" fillId="12" borderId="0" applyAlignment="1" pivotButton="0" quotePrefix="0" xfId="0">
      <alignment horizontal="center"/>
    </xf>
    <xf numFmtId="0" fontId="5" fillId="7" borderId="0" applyAlignment="1" pivotButton="0" quotePrefix="0" xfId="0">
      <alignment horizontal="center"/>
    </xf>
    <xf numFmtId="0" fontId="5" fillId="13" borderId="0" applyAlignment="1" pivotButton="0" quotePrefix="0" xfId="0">
      <alignment horizontal="center"/>
    </xf>
    <xf numFmtId="0" fontId="5" fillId="14" borderId="0" applyAlignment="1" pivotButton="0" quotePrefix="0" xfId="0">
      <alignment horizontal="center"/>
    </xf>
    <xf numFmtId="0" fontId="5" fillId="15" borderId="0" applyAlignment="1" pivotButton="0" quotePrefix="0" xfId="0">
      <alignment horizontal="center"/>
    </xf>
    <xf numFmtId="0" fontId="11" fillId="2" borderId="0" applyAlignment="1" pivotButton="0" quotePrefix="0" xfId="0">
      <alignment horizontal="center" vertical="center"/>
    </xf>
    <xf numFmtId="3" fontId="13" fillId="2" borderId="0" applyAlignment="1" pivotButton="0" quotePrefix="0" xfId="0">
      <alignment horizontal="right"/>
    </xf>
    <xf numFmtId="0" fontId="18" fillId="2" borderId="0" applyAlignment="1" pivotButton="0" quotePrefix="0" xfId="0">
      <alignment horizontal="center" vertical="center" wrapText="1"/>
    </xf>
    <xf numFmtId="3" fontId="3" fillId="0" borderId="0" pivotButton="0" quotePrefix="0" xfId="0"/>
    <xf numFmtId="0" fontId="2" fillId="0" borderId="0" pivotButton="0" quotePrefix="0" xfId="0"/>
    <xf numFmtId="0" fontId="7" fillId="9" borderId="1" applyAlignment="1" pivotButton="0" quotePrefix="0" xfId="0">
      <alignment horizontal="center" vertical="center" wrapText="1"/>
    </xf>
    <xf numFmtId="3" fontId="0" fillId="0" borderId="1" applyAlignment="1" pivotButton="0" quotePrefix="0" xfId="0">
      <alignment horizontal="right"/>
    </xf>
    <xf numFmtId="10" fontId="0" fillId="0" borderId="1" applyAlignment="1" pivotButton="0" quotePrefix="0" xfId="0">
      <alignment horizontal="center"/>
    </xf>
    <xf numFmtId="0" fontId="12" fillId="2" borderId="1" pivotButton="0" quotePrefix="0" xfId="0"/>
    <xf numFmtId="0" fontId="12" fillId="2" borderId="1" applyAlignment="1" pivotButton="0" quotePrefix="0" xfId="0">
      <alignment horizontal="center"/>
    </xf>
    <xf numFmtId="3" fontId="19" fillId="2" borderId="1" applyAlignment="1" pivotButton="0" quotePrefix="0" xfId="0">
      <alignment horizontal="right"/>
    </xf>
    <xf numFmtId="10" fontId="19" fillId="2" borderId="1" applyAlignment="1" pivotButton="0" quotePrefix="0" xfId="0">
      <alignment horizontal="center"/>
    </xf>
    <xf numFmtId="0" fontId="0" fillId="0" borderId="1" pivotButton="0" quotePrefix="0" xfId="0"/>
    <xf numFmtId="0" fontId="20" fillId="6" borderId="0" applyAlignment="1" pivotButton="0" quotePrefix="0" xfId="0">
      <alignment horizontal="center" vertical="center"/>
    </xf>
    <xf numFmtId="0" fontId="7" fillId="2" borderId="0" applyAlignment="1" pivotButton="0" quotePrefix="0" xfId="0">
      <alignment horizontal="center" vertical="center"/>
    </xf>
    <xf numFmtId="0" fontId="7" fillId="9" borderId="0" applyAlignment="1" pivotButton="0" quotePrefix="0" xfId="0">
      <alignment horizontal="center" vertical="center"/>
    </xf>
    <xf numFmtId="0" fontId="7" fillId="7" borderId="0" applyAlignment="1" pivotButton="0" quotePrefix="0" xfId="0">
      <alignment horizontal="center" vertical="center"/>
    </xf>
    <xf numFmtId="0" fontId="7" fillId="10" borderId="0" applyAlignment="1" pivotButton="0" quotePrefix="0" xfId="0">
      <alignment horizontal="center" vertical="center"/>
    </xf>
    <xf numFmtId="0" fontId="7" fillId="8" borderId="0" applyAlignment="1" pivotButton="0" quotePrefix="0" xfId="0">
      <alignment horizontal="center" vertical="center"/>
    </xf>
    <xf numFmtId="0" fontId="7" fillId="5" borderId="0" applyAlignment="1" pivotButton="0" quotePrefix="0" xfId="0">
      <alignment horizontal="center" vertical="center"/>
    </xf>
    <xf numFmtId="0" fontId="21" fillId="3" borderId="1" applyAlignment="1" pivotButton="0" quotePrefix="0" xfId="0">
      <alignment horizontal="center" vertical="center" wrapText="1"/>
    </xf>
    <xf numFmtId="0" fontId="22" fillId="16" borderId="1" applyAlignment="1" pivotButton="0" quotePrefix="0" xfId="0">
      <alignment horizontal="center" vertical="center" wrapText="1"/>
    </xf>
    <xf numFmtId="0" fontId="25" fillId="20" borderId="1" applyAlignment="1" pivotButton="0" quotePrefix="0" xfId="0">
      <alignment horizontal="center" vertical="center" wrapText="1"/>
    </xf>
    <xf numFmtId="0" fontId="25" fillId="18" borderId="1" applyAlignment="1" pivotButton="0" quotePrefix="0" xfId="0">
      <alignment horizontal="center" vertical="center" wrapText="1"/>
    </xf>
    <xf numFmtId="0" fontId="25" fillId="17" borderId="1" applyAlignment="1" pivotButton="0" quotePrefix="0" xfId="0">
      <alignment horizontal="center" vertical="center" wrapText="1"/>
    </xf>
    <xf numFmtId="0" fontId="25" fillId="21" borderId="1" applyAlignment="1" pivotButton="0" quotePrefix="0" xfId="0">
      <alignment horizontal="center" vertical="center" wrapText="1"/>
    </xf>
    <xf numFmtId="0" fontId="25" fillId="22" borderId="1" applyAlignment="1" pivotButton="0" quotePrefix="0" xfId="0">
      <alignment horizontal="center" vertical="center" wrapText="1"/>
    </xf>
    <xf numFmtId="0" fontId="25" fillId="23" borderId="1" applyAlignment="1" pivotButton="0" quotePrefix="0" xfId="0">
      <alignment horizontal="center" vertical="center" wrapText="1"/>
    </xf>
    <xf numFmtId="0" fontId="23" fillId="17" borderId="1" applyAlignment="1" pivotButton="0" quotePrefix="0" xfId="0">
      <alignment horizontal="center" vertical="center" wrapText="1"/>
    </xf>
    <xf numFmtId="0" fontId="23" fillId="18" borderId="1" applyAlignment="1" pivotButton="0" quotePrefix="0" xfId="0">
      <alignment horizontal="center" vertical="center" wrapText="1"/>
    </xf>
    <xf numFmtId="0" fontId="23" fillId="19" borderId="1" applyAlignment="1" pivotButton="0" quotePrefix="0" xfId="0">
      <alignment horizontal="center" vertical="center" wrapText="1"/>
    </xf>
    <xf numFmtId="0" fontId="24" fillId="12" borderId="1" applyAlignment="1" pivotButton="0" quotePrefix="0" xfId="0">
      <alignment horizontal="center" vertical="center" wrapText="1"/>
    </xf>
    <xf numFmtId="0" fontId="26" fillId="20" borderId="1" applyAlignment="1" pivotButton="0" quotePrefix="0" xfId="0">
      <alignment horizontal="center" vertical="center" wrapText="1"/>
    </xf>
    <xf numFmtId="0" fontId="26" fillId="18" borderId="1" applyAlignment="1" pivotButton="0" quotePrefix="0" xfId="0">
      <alignment horizontal="center" vertical="center" wrapText="1"/>
    </xf>
    <xf numFmtId="0" fontId="26" fillId="17" borderId="1" applyAlignment="1" pivotButton="0" quotePrefix="0" xfId="0">
      <alignment horizontal="center" vertical="center" wrapText="1"/>
    </xf>
    <xf numFmtId="0" fontId="26" fillId="21" borderId="1" applyAlignment="1" pivotButton="0" quotePrefix="0" xfId="0">
      <alignment horizontal="center" vertical="center" wrapText="1"/>
    </xf>
    <xf numFmtId="0" fontId="26" fillId="22" borderId="1" applyAlignment="1" pivotButton="0" quotePrefix="0" xfId="0">
      <alignment horizontal="center" vertical="center" wrapText="1"/>
    </xf>
    <xf numFmtId="0" fontId="26" fillId="23" borderId="1" applyAlignment="1" pivotButton="0" quotePrefix="0" xfId="0">
      <alignment horizontal="center" vertical="center" wrapText="1"/>
    </xf>
    <xf numFmtId="0" fontId="27" fillId="24" borderId="1" applyAlignment="1" pivotButton="0" quotePrefix="0" xfId="0">
      <alignment horizontal="left" vertical="center"/>
    </xf>
    <xf numFmtId="0" fontId="27" fillId="24" borderId="1" applyAlignment="1" pivotButton="0" quotePrefix="0" xfId="0">
      <alignment horizontal="center" vertical="center"/>
    </xf>
    <xf numFmtId="165" fontId="2" fillId="4" borderId="1" applyAlignment="1" pivotButton="0" quotePrefix="0" xfId="0">
      <alignment horizontal="right" vertical="center"/>
    </xf>
    <xf numFmtId="165" fontId="2" fillId="25" borderId="1" applyAlignment="1" pivotButton="0" quotePrefix="0" xfId="0">
      <alignment horizontal="right" vertical="center"/>
    </xf>
    <xf numFmtId="164" fontId="2" fillId="0" borderId="1" applyAlignment="1" pivotButton="0" quotePrefix="0" xfId="0">
      <alignment horizontal="center" vertical="center"/>
    </xf>
    <xf numFmtId="165" fontId="28" fillId="26" borderId="1" applyAlignment="1" pivotButton="0" quotePrefix="0" xfId="0">
      <alignment horizontal="right" vertical="center"/>
    </xf>
    <xf numFmtId="165" fontId="29" fillId="24" borderId="1" applyAlignment="1" pivotButton="0" quotePrefix="0" xfId="0">
      <alignment horizontal="right" vertical="center"/>
    </xf>
    <xf numFmtId="165" fontId="28" fillId="3" borderId="1" applyAlignment="1" pivotButton="0" quotePrefix="0" xfId="0">
      <alignment horizontal="right" vertical="center"/>
    </xf>
    <xf numFmtId="165" fontId="28" fillId="27" borderId="1" applyAlignment="1" pivotButton="0" quotePrefix="0" xfId="0">
      <alignment horizontal="right" vertical="center"/>
    </xf>
    <xf numFmtId="165" fontId="28" fillId="28" borderId="1" applyAlignment="1" pivotButton="0" quotePrefix="0" xfId="0">
      <alignment horizontal="right" vertical="center"/>
    </xf>
    <xf numFmtId="165" fontId="28" fillId="29" borderId="1" applyAlignment="1" pivotButton="0" quotePrefix="0" xfId="0">
      <alignment horizontal="right" vertical="center"/>
    </xf>
    <xf numFmtId="0" fontId="27" fillId="30" borderId="1" applyAlignment="1" pivotButton="0" quotePrefix="0" xfId="0">
      <alignment horizontal="left" vertical="center"/>
    </xf>
    <xf numFmtId="0" fontId="27" fillId="30" borderId="1" applyAlignment="1" pivotButton="0" quotePrefix="0" xfId="0">
      <alignment horizontal="center" vertical="center"/>
    </xf>
    <xf numFmtId="165" fontId="29" fillId="30" borderId="1" applyAlignment="1" pivotButton="0" quotePrefix="0" xfId="0">
      <alignment horizontal="right" vertical="center"/>
    </xf>
    <xf numFmtId="165" fontId="28" fillId="16" borderId="1" applyAlignment="1" pivotButton="0" quotePrefix="0" xfId="0">
      <alignment horizontal="right" vertical="center"/>
    </xf>
    <xf numFmtId="0" fontId="7" fillId="2" borderId="1" applyAlignment="1" pivotButton="0" quotePrefix="0" xfId="0">
      <alignment horizontal="center" vertical="center"/>
    </xf>
    <xf numFmtId="165" fontId="7" fillId="2" borderId="1" applyAlignment="1" pivotButton="0" quotePrefix="0" xfId="0">
      <alignment horizontal="right" vertical="center"/>
    </xf>
    <xf numFmtId="165" fontId="16" fillId="2" borderId="1" applyAlignment="1" pivotButton="0" quotePrefix="0" xfId="0">
      <alignment horizontal="right" vertical="center"/>
    </xf>
    <xf numFmtId="164" fontId="13" fillId="2" borderId="1" applyAlignment="1" pivotButton="0" quotePrefix="0" xfId="0">
      <alignment horizontal="center" vertical="center"/>
    </xf>
    <xf numFmtId="165" fontId="24" fillId="2" borderId="1" applyAlignment="1" pivotButton="0" quotePrefix="0" xfId="0">
      <alignment horizontal="right" vertical="center"/>
    </xf>
    <xf numFmtId="0" fontId="0" fillId="0" borderId="4" pivotButton="0" quotePrefix="0" xfId="0"/>
    <xf numFmtId="0" fontId="0" fillId="0" borderId="5" pivotButton="0" quotePrefix="0" xfId="0"/>
  </cellXfs>
  <cellStyles count="1">
    <cellStyle name="Normal" xfId="0" builtinId="0" hidden="0"/>
  </cellStyles>
  <dxfs count="3">
    <dxf>
      <font>
        <b val="1"/>
        <color rgb="00000000"/>
      </font>
      <fill>
        <patternFill patternType="solid">
          <fgColor rgb="0028E11F"/>
          <bgColor rgb="0028E11F"/>
        </patternFill>
      </fill>
    </dxf>
    <dxf>
      <font>
        <b val="1"/>
        <color rgb="00FFFFFF"/>
      </font>
      <fill>
        <patternFill patternType="solid">
          <fgColor rgb="00F5991F"/>
          <bgColor rgb="00F5991F"/>
        </patternFill>
      </fill>
    </dxf>
    <dxf>
      <font>
        <b val="1"/>
        <color rgb="00FFFFFF"/>
      </font>
      <fill>
        <patternFill patternType="solid">
          <fgColor rgb="00DD2323"/>
          <bgColor rgb="00DD232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22"/>
  <sheetViews>
    <sheetView workbookViewId="0">
      <selection activeCell="A1" sqref="A1"/>
    </sheetView>
  </sheetViews>
  <sheetFormatPr baseColWidth="8" defaultRowHeight="15"/>
  <cols>
    <col width="3" customWidth="1" min="1" max="1"/>
    <col width="10" customWidth="1" min="2" max="2"/>
    <col width="22" customWidth="1" min="3" max="3"/>
    <col width="18" customWidth="1" min="4" max="4"/>
    <col width="18" customWidth="1" min="5" max="5"/>
    <col width="18" customWidth="1" min="6" max="6"/>
    <col width="18" customWidth="1" min="7" max="7"/>
    <col width="12" customWidth="1" min="8" max="8"/>
  </cols>
  <sheetData>
    <row r="2" ht="35" customHeight="1">
      <c r="B2" s="1" t="inlineStr">
        <is>
          <t>📊 THEO DÕI DOANH SỐ TEAM - TRẦN THỊ CẨM GIANG</t>
        </is>
      </c>
    </row>
    <row r="3">
      <c r="B3" s="2" t="inlineStr">
        <is>
          <t>Tháng:</t>
        </is>
      </c>
      <c r="C3" s="3" t="inlineStr">
        <is>
          <t>9/2026</t>
        </is>
      </c>
      <c r="D3" s="2" t="inlineStr">
        <is>
          <t>Team Lead:</t>
        </is>
      </c>
      <c r="E3" s="3" t="inlineStr">
        <is>
          <t>Trần Thị Cẩm Giang</t>
        </is>
      </c>
      <c r="F3" s="2" t="inlineStr">
        <is>
          <t>% Timegone:</t>
        </is>
      </c>
      <c r="G3" s="4" t="n">
        <v>0.4667</v>
      </c>
      <c r="H3" s="3" t="inlineStr">
        <is>
          <t>Cập nhật: 14/09/2026</t>
        </is>
      </c>
    </row>
    <row r="5">
      <c r="B5" s="5" t="inlineStr">
        <is>
          <t>🎯 TỔNG QUAN TEAM</t>
        </is>
      </c>
    </row>
    <row r="6" ht="30" customHeight="1">
      <c r="B6" s="6" t="inlineStr">
        <is>
          <t>Target Team</t>
        </is>
      </c>
      <c r="C6" s="7" t="inlineStr">
        <is>
          <t>Thực Hiện BHX</t>
        </is>
      </c>
      <c r="D6" s="8" t="inlineStr">
        <is>
          <t>Thực Hiện CVS</t>
        </is>
      </c>
      <c r="E6" s="9" t="inlineStr">
        <is>
          <t>Tổng Thực Hiện</t>
        </is>
      </c>
      <c r="F6" s="10" t="inlineStr">
        <is>
          <t>Thiếu</t>
        </is>
      </c>
      <c r="G6" s="11" t="inlineStr">
        <is>
          <t>% Đạt Team</t>
        </is>
      </c>
    </row>
    <row r="7" ht="28" customHeight="1">
      <c r="B7" s="12" t="n">
        <v>10826339729</v>
      </c>
      <c r="C7" s="12" t="n">
        <v>3551927443</v>
      </c>
      <c r="D7" s="12" t="n">
        <v>359247028</v>
      </c>
      <c r="E7" s="12" t="n">
        <v>3911174471</v>
      </c>
      <c r="F7" s="13" t="n">
        <v>6915165258</v>
      </c>
      <c r="G7" s="14" t="n">
        <v>0.3612647089323572</v>
      </c>
    </row>
    <row r="9" ht="25" customHeight="1">
      <c r="B9" s="15" t="inlineStr">
        <is>
          <t>🟠 Team đang CẬN tiến độ (CẢNH BÁO): % Đạt (36.1%) vs % Timegone (46.7%) → chênh lệch -10.5%</t>
        </is>
      </c>
    </row>
    <row r="11">
      <c r="B11" s="5" t="inlineStr">
        <is>
          <t>XẾP HẠNG NHÂN VIÊN</t>
        </is>
      </c>
    </row>
    <row r="12">
      <c r="B12" s="16" t="inlineStr">
        <is>
          <t>Hạng</t>
        </is>
      </c>
      <c r="C12" s="16" t="inlineStr">
        <is>
          <t>Nhân Viên</t>
        </is>
      </c>
      <c r="D12" s="16" t="inlineStr">
        <is>
          <t>Target</t>
        </is>
      </c>
      <c r="E12" s="16" t="inlineStr">
        <is>
          <t>BHX</t>
        </is>
      </c>
      <c r="F12" s="16" t="inlineStr">
        <is>
          <t>CVS</t>
        </is>
      </c>
      <c r="G12" s="16" t="inlineStr">
        <is>
          <t>Tổng TH</t>
        </is>
      </c>
      <c r="H12" s="16" t="inlineStr">
        <is>
          <t>% Đạt</t>
        </is>
      </c>
    </row>
    <row r="13">
      <c r="B13" s="17" t="n">
        <v>1</v>
      </c>
      <c r="C13" s="18" t="inlineStr">
        <is>
          <t>Nguyễn Thanh Nhàn</t>
        </is>
      </c>
      <c r="D13" s="19" t="n">
        <v>1346491228</v>
      </c>
      <c r="E13" s="19" t="n">
        <v>498866214</v>
      </c>
      <c r="F13" s="19" t="n">
        <v>0</v>
      </c>
      <c r="G13" s="19" t="n">
        <v>498866214</v>
      </c>
      <c r="H13" s="20" t="n">
        <v>0.3704934749118172</v>
      </c>
    </row>
    <row r="14">
      <c r="B14" s="17" t="n">
        <v>2</v>
      </c>
      <c r="C14" s="18" t="inlineStr">
        <is>
          <t>Lê Trần Bá Kiện</t>
        </is>
      </c>
      <c r="D14" s="19" t="n">
        <v>1292631579</v>
      </c>
      <c r="E14" s="19" t="n">
        <v>478911565</v>
      </c>
      <c r="F14" s="19" t="n">
        <v>0</v>
      </c>
      <c r="G14" s="19" t="n">
        <v>478911565</v>
      </c>
      <c r="H14" s="20" t="n">
        <v>0.370493474537032</v>
      </c>
    </row>
    <row r="15">
      <c r="B15" s="17" t="n">
        <v>3</v>
      </c>
      <c r="C15" s="18" t="inlineStr">
        <is>
          <t>Chắng Lý Quỳnh</t>
        </is>
      </c>
      <c r="D15" s="19" t="n">
        <v>1354847566</v>
      </c>
      <c r="E15" s="19" t="n">
        <v>498866214</v>
      </c>
      <c r="F15" s="19" t="n">
        <v>2270422</v>
      </c>
      <c r="G15" s="19" t="n">
        <v>501136636</v>
      </c>
      <c r="H15" s="20" t="n">
        <v>0.3698841468044531</v>
      </c>
    </row>
    <row r="16">
      <c r="B16" s="17" t="n">
        <v>4</v>
      </c>
      <c r="C16" s="18" t="inlineStr">
        <is>
          <t>Kim Hoàng Khang</t>
        </is>
      </c>
      <c r="D16" s="19" t="n">
        <v>1399499656</v>
      </c>
      <c r="E16" s="19" t="n">
        <v>498866214</v>
      </c>
      <c r="F16" s="19" t="n">
        <v>15438632</v>
      </c>
      <c r="G16" s="19" t="n">
        <v>514304846</v>
      </c>
      <c r="H16" s="20" t="n">
        <v>0.367491941705772</v>
      </c>
    </row>
    <row r="17">
      <c r="B17" s="17" t="n">
        <v>5</v>
      </c>
      <c r="C17" s="18" t="inlineStr">
        <is>
          <t>Bùi Thị Sen</t>
        </is>
      </c>
      <c r="D17" s="19" t="n">
        <v>1181190660</v>
      </c>
      <c r="E17" s="19" t="n">
        <v>419047620</v>
      </c>
      <c r="F17" s="19" t="n">
        <v>13622532</v>
      </c>
      <c r="G17" s="19" t="n">
        <v>432670152</v>
      </c>
      <c r="H17" s="20" t="n">
        <v>0.3663000112107219</v>
      </c>
    </row>
    <row r="18">
      <c r="B18" s="17" t="n">
        <v>6</v>
      </c>
      <c r="C18" s="18" t="inlineStr">
        <is>
          <t>Lê Thị Thùy Châu</t>
        </is>
      </c>
      <c r="D18" s="19" t="n">
        <v>1240952244</v>
      </c>
      <c r="E18" s="19" t="n">
        <v>419047620</v>
      </c>
      <c r="F18" s="19" t="n">
        <v>34581126</v>
      </c>
      <c r="G18" s="19" t="n">
        <v>453628746</v>
      </c>
      <c r="H18" s="20" t="n">
        <v>0.3655489147090821</v>
      </c>
    </row>
    <row r="19">
      <c r="B19" s="17" t="n">
        <v>7</v>
      </c>
      <c r="C19" s="18" t="inlineStr">
        <is>
          <t>Nguyễn Thị Thanh Thủy</t>
        </is>
      </c>
      <c r="D19" s="19" t="n">
        <v>583256268</v>
      </c>
      <c r="E19" s="19" t="n">
        <v>119727891</v>
      </c>
      <c r="F19" s="19" t="n">
        <v>88421641</v>
      </c>
      <c r="G19" s="19" t="n">
        <v>208149532</v>
      </c>
      <c r="H19" s="20" t="n">
        <v>0.3568749166018392</v>
      </c>
    </row>
    <row r="20">
      <c r="B20" s="17" t="n">
        <v>8</v>
      </c>
      <c r="C20" s="18" t="inlineStr">
        <is>
          <t>Phạm Thị Kim Nhung</t>
        </is>
      </c>
      <c r="D20" s="19" t="n">
        <v>1161621042</v>
      </c>
      <c r="E20" s="19" t="n">
        <v>399092971</v>
      </c>
      <c r="F20" s="19" t="n">
        <v>11234100</v>
      </c>
      <c r="G20" s="19" t="n">
        <v>410327071</v>
      </c>
      <c r="H20" s="20" t="n">
        <v>0.3532366031296461</v>
      </c>
    </row>
    <row r="21">
      <c r="B21" s="17" t="n">
        <v>9</v>
      </c>
      <c r="C21" s="18" t="inlineStr">
        <is>
          <t>Não Thị Anh Đào</t>
        </is>
      </c>
      <c r="D21" s="19" t="n">
        <v>864811602</v>
      </c>
      <c r="E21" s="19" t="n">
        <v>219501134</v>
      </c>
      <c r="F21" s="19" t="n">
        <v>79239773</v>
      </c>
      <c r="G21" s="19" t="n">
        <v>298740907</v>
      </c>
      <c r="H21" s="20" t="n">
        <v>0.3454404477334937</v>
      </c>
    </row>
    <row r="22">
      <c r="B22" s="17" t="n">
        <v>10</v>
      </c>
      <c r="C22" s="18" t="inlineStr">
        <is>
          <t>Nguyễn Đức Hoà</t>
        </is>
      </c>
      <c r="D22" s="19" t="n">
        <v>401037884</v>
      </c>
      <c r="E22" s="19" t="n">
        <v>0</v>
      </c>
      <c r="F22" s="19" t="n">
        <v>114438802</v>
      </c>
      <c r="G22" s="19" t="n">
        <v>114438802</v>
      </c>
      <c r="H22" s="20" t="n">
        <v>0.2853565874090838</v>
      </c>
    </row>
  </sheetData>
  <mergeCells count="4">
    <mergeCell ref="B5:H5"/>
    <mergeCell ref="B2:H2"/>
    <mergeCell ref="B11:H11"/>
    <mergeCell ref="B9:H9"/>
  </mergeCells>
  <conditionalFormatting sqref="H13:H22">
    <cfRule type="cellIs" priority="1" operator="greaterThanOrEqual" dxfId="0" stopIfTrue="1">
      <formula>0.4667</formula>
    </cfRule>
    <cfRule type="cellIs" priority="2" operator="between" dxfId="1" stopIfTrue="1">
      <formula>0.35</formula>
      <formula>0.4667</formula>
    </cfRule>
    <cfRule type="cellIs" priority="3" operator="lessThan" dxfId="2" stopIfTrue="1">
      <formula>0.35</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2:M20"/>
  <sheetViews>
    <sheetView workbookViewId="0">
      <pane xSplit="3" ySplit="6" topLeftCell="D7"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5" customWidth="1" min="2" max="2"/>
    <col width="22" customWidth="1" min="3" max="3"/>
    <col width="18" customWidth="1" min="4" max="4"/>
    <col width="16" customWidth="1" min="5" max="5"/>
    <col width="14" customWidth="1" min="6" max="6"/>
    <col width="14" customWidth="1" min="7" max="7"/>
    <col width="14" customWidth="1" min="8" max="8"/>
    <col width="14" customWidth="1" min="9" max="9"/>
    <col width="14" customWidth="1" min="10" max="10"/>
    <col width="14" customWidth="1" min="11" max="11"/>
    <col width="18" customWidth="1" min="12" max="12"/>
    <col width="10" customWidth="1" min="13" max="13"/>
  </cols>
  <sheetData>
    <row r="2" ht="30" customHeight="1">
      <c r="B2" s="21" t="inlineStr">
        <is>
          <t>THEO DÕI DOANH SỐ - TEAM TRẦN THỊ CẨM GIANG - THÁNG 9/2026</t>
        </is>
      </c>
    </row>
    <row r="3">
      <c r="B3" s="2" t="inlineStr">
        <is>
          <t>% Timegone:</t>
        </is>
      </c>
      <c r="C3" s="22" t="n">
        <v>0.4667</v>
      </c>
      <c r="E3" s="2" t="inlineStr">
        <is>
          <t>Tổng CH BHX:</t>
        </is>
      </c>
      <c r="F3" s="3" t="n">
        <v>232</v>
      </c>
      <c r="H3" s="2" t="inlineStr">
        <is>
          <t>TB BHX/CH:</t>
        </is>
      </c>
      <c r="I3" s="23" t="n">
        <v>19954649</v>
      </c>
    </row>
    <row r="5" ht="22" customHeight="1">
      <c r="E5" s="24" t="inlineStr">
        <is>
          <t>THỰC HIỆN (chi tiết theo kênh)</t>
        </is>
      </c>
      <c r="L5" s="25" t="inlineStr">
        <is>
          <t>ĐÁNH GIÁ</t>
        </is>
      </c>
    </row>
    <row r="6" ht="40" customHeight="1">
      <c r="B6" s="16" t="inlineStr">
        <is>
          <t>STT</t>
        </is>
      </c>
      <c r="C6" s="16" t="inlineStr">
        <is>
          <t>Nhân Viên</t>
        </is>
      </c>
      <c r="D6" s="16" t="inlineStr">
        <is>
          <t>Target</t>
        </is>
      </c>
      <c r="E6" s="16" t="inlineStr">
        <is>
          <t>BHX
(cố định)</t>
        </is>
      </c>
      <c r="F6" s="16" t="inlineStr">
        <is>
          <t>GS25</t>
        </is>
      </c>
      <c r="G6" s="16" t="inlineStr">
        <is>
          <t>7-Eleven</t>
        </is>
      </c>
      <c r="H6" s="16" t="inlineStr">
        <is>
          <t>FamilyMart</t>
        </is>
      </c>
      <c r="I6" s="16" t="inlineStr">
        <is>
          <t>Circle K</t>
        </is>
      </c>
      <c r="J6" s="16" t="inlineStr">
        <is>
          <t>Hoàng Đức</t>
        </is>
      </c>
      <c r="K6" s="16" t="inlineStr">
        <is>
          <t>WinMart+</t>
        </is>
      </c>
      <c r="L6" s="16" t="inlineStr">
        <is>
          <t>Tổng TH
(BHX+CVS)</t>
        </is>
      </c>
      <c r="M6" s="16" t="inlineStr">
        <is>
          <t>% Đạt</t>
        </is>
      </c>
    </row>
    <row r="7">
      <c r="B7" s="26" t="n">
        <v>1</v>
      </c>
      <c r="C7" s="18" t="inlineStr">
        <is>
          <t>Bùi Thị Sen</t>
        </is>
      </c>
      <c r="D7" s="27" t="n">
        <v>1181190660</v>
      </c>
      <c r="E7" s="27" t="n">
        <v>419047620</v>
      </c>
      <c r="F7" s="27" t="n">
        <v>13622532</v>
      </c>
      <c r="G7" s="27" t="n">
        <v>0</v>
      </c>
      <c r="H7" s="27" t="n">
        <v>0</v>
      </c>
      <c r="I7" s="27" t="n">
        <v>0</v>
      </c>
      <c r="J7" s="27" t="n">
        <v>0</v>
      </c>
      <c r="K7" s="27" t="n">
        <v>0</v>
      </c>
      <c r="L7" s="28" t="n">
        <v>432670152</v>
      </c>
      <c r="M7" s="29" t="n">
        <v>0.3663000112107219</v>
      </c>
    </row>
    <row r="8">
      <c r="B8" s="26" t="n">
        <v>2</v>
      </c>
      <c r="C8" s="18" t="inlineStr">
        <is>
          <t>Chắng Lý Quỳnh</t>
        </is>
      </c>
      <c r="D8" s="27" t="n">
        <v>1354847566</v>
      </c>
      <c r="E8" s="27" t="n">
        <v>498866214</v>
      </c>
      <c r="F8" s="27" t="n">
        <v>2270422</v>
      </c>
      <c r="G8" s="27" t="n">
        <v>0</v>
      </c>
      <c r="H8" s="27" t="n">
        <v>0</v>
      </c>
      <c r="I8" s="27" t="n">
        <v>0</v>
      </c>
      <c r="J8" s="27" t="n">
        <v>0</v>
      </c>
      <c r="K8" s="27" t="n">
        <v>0</v>
      </c>
      <c r="L8" s="28" t="n">
        <v>501136636</v>
      </c>
      <c r="M8" s="29" t="n">
        <v>0.3698841468044531</v>
      </c>
    </row>
    <row r="9">
      <c r="B9" s="26" t="n">
        <v>3</v>
      </c>
      <c r="C9" s="18" t="inlineStr">
        <is>
          <t>Kim Hoàng Khang</t>
        </is>
      </c>
      <c r="D9" s="27" t="n">
        <v>1399499656</v>
      </c>
      <c r="E9" s="27" t="n">
        <v>498866214</v>
      </c>
      <c r="F9" s="27" t="n">
        <v>13622532</v>
      </c>
      <c r="G9" s="27" t="n">
        <v>0</v>
      </c>
      <c r="H9" s="27" t="n">
        <v>1816100</v>
      </c>
      <c r="I9" s="27" t="n">
        <v>0</v>
      </c>
      <c r="J9" s="27" t="n">
        <v>0</v>
      </c>
      <c r="K9" s="27" t="n">
        <v>0</v>
      </c>
      <c r="L9" s="28" t="n">
        <v>514304846</v>
      </c>
      <c r="M9" s="29" t="n">
        <v>0.367491941705772</v>
      </c>
    </row>
    <row r="10">
      <c r="B10" s="26" t="n">
        <v>4</v>
      </c>
      <c r="C10" s="18" t="inlineStr">
        <is>
          <t>Lê Thị Thùy Châu</t>
        </is>
      </c>
      <c r="D10" s="27" t="n">
        <v>1240952244</v>
      </c>
      <c r="E10" s="27" t="n">
        <v>419047620</v>
      </c>
      <c r="F10" s="27" t="n">
        <v>0</v>
      </c>
      <c r="G10" s="27" t="n">
        <v>0</v>
      </c>
      <c r="H10" s="27" t="n">
        <v>0</v>
      </c>
      <c r="I10" s="27" t="n">
        <v>7687126</v>
      </c>
      <c r="J10" s="27" t="n">
        <v>26894000</v>
      </c>
      <c r="K10" s="27" t="n">
        <v>0</v>
      </c>
      <c r="L10" s="28" t="n">
        <v>453628746</v>
      </c>
      <c r="M10" s="29" t="n">
        <v>0.3655489147090821</v>
      </c>
    </row>
    <row r="11">
      <c r="B11" s="26" t="n">
        <v>5</v>
      </c>
      <c r="C11" s="18" t="inlineStr">
        <is>
          <t>Lê Trần Bá Kiện</t>
        </is>
      </c>
      <c r="D11" s="27" t="n">
        <v>1292631579</v>
      </c>
      <c r="E11" s="27" t="n">
        <v>478911565</v>
      </c>
      <c r="F11" s="27" t="n">
        <v>0</v>
      </c>
      <c r="G11" s="27" t="n">
        <v>0</v>
      </c>
      <c r="H11" s="27" t="n">
        <v>0</v>
      </c>
      <c r="I11" s="27" t="n">
        <v>0</v>
      </c>
      <c r="J11" s="27" t="n">
        <v>0</v>
      </c>
      <c r="K11" s="27" t="n">
        <v>0</v>
      </c>
      <c r="L11" s="28" t="n">
        <v>478911565</v>
      </c>
      <c r="M11" s="29" t="n">
        <v>0.370493474537032</v>
      </c>
    </row>
    <row r="12">
      <c r="B12" s="26" t="n">
        <v>6</v>
      </c>
      <c r="C12" s="18" t="inlineStr">
        <is>
          <t>Não Thị Anh Đào</t>
        </is>
      </c>
      <c r="D12" s="27" t="n">
        <v>864811602</v>
      </c>
      <c r="E12" s="27" t="n">
        <v>219501134</v>
      </c>
      <c r="F12" s="27" t="n">
        <v>54490128</v>
      </c>
      <c r="G12" s="27" t="n">
        <v>5132220</v>
      </c>
      <c r="H12" s="27" t="n">
        <v>6967050</v>
      </c>
      <c r="I12" s="27" t="n">
        <v>12650375</v>
      </c>
      <c r="J12" s="27" t="n">
        <v>0</v>
      </c>
      <c r="K12" s="27" t="n">
        <v>0</v>
      </c>
      <c r="L12" s="28" t="n">
        <v>298740907</v>
      </c>
      <c r="M12" s="29" t="n">
        <v>0.3454404477334937</v>
      </c>
    </row>
    <row r="13">
      <c r="B13" s="26" t="n">
        <v>7</v>
      </c>
      <c r="C13" s="18" t="inlineStr">
        <is>
          <t>Nguyễn Đức Hoà</t>
        </is>
      </c>
      <c r="D13" s="27" t="n">
        <v>401037884</v>
      </c>
      <c r="E13" s="27" t="n">
        <v>0</v>
      </c>
      <c r="F13" s="27" t="n">
        <v>45408440</v>
      </c>
      <c r="G13" s="27" t="n">
        <v>3421480</v>
      </c>
      <c r="H13" s="27" t="n">
        <v>59284000</v>
      </c>
      <c r="I13" s="27" t="n">
        <v>6324882</v>
      </c>
      <c r="J13" s="27" t="n">
        <v>0</v>
      </c>
      <c r="K13" s="27" t="n">
        <v>0</v>
      </c>
      <c r="L13" s="28" t="n">
        <v>114438802</v>
      </c>
      <c r="M13" s="29" t="n">
        <v>0.2853565874090838</v>
      </c>
    </row>
    <row r="14">
      <c r="B14" s="26" t="n">
        <v>8</v>
      </c>
      <c r="C14" s="18" t="inlineStr">
        <is>
          <t>Nguyễn Thanh Nhàn</t>
        </is>
      </c>
      <c r="D14" s="27" t="n">
        <v>1346491228</v>
      </c>
      <c r="E14" s="27" t="n">
        <v>498866214</v>
      </c>
      <c r="F14" s="27" t="n">
        <v>0</v>
      </c>
      <c r="G14" s="27" t="n">
        <v>0</v>
      </c>
      <c r="H14" s="27" t="n">
        <v>0</v>
      </c>
      <c r="I14" s="27" t="n">
        <v>0</v>
      </c>
      <c r="J14" s="27" t="n">
        <v>0</v>
      </c>
      <c r="K14" s="27" t="n">
        <v>0</v>
      </c>
      <c r="L14" s="28" t="n">
        <v>498866214</v>
      </c>
      <c r="M14" s="29" t="n">
        <v>0.3704934749118172</v>
      </c>
    </row>
    <row r="15">
      <c r="B15" s="26" t="n">
        <v>9</v>
      </c>
      <c r="C15" s="18" t="inlineStr">
        <is>
          <t>Nguyễn Thị Thanh Thủy</t>
        </is>
      </c>
      <c r="D15" s="27" t="n">
        <v>583256268</v>
      </c>
      <c r="E15" s="27" t="n">
        <v>119727891</v>
      </c>
      <c r="F15" s="27" t="n">
        <v>29515486</v>
      </c>
      <c r="G15" s="27" t="n">
        <v>0</v>
      </c>
      <c r="H15" s="27" t="n">
        <v>16110900</v>
      </c>
      <c r="I15" s="27" t="n">
        <v>42795255</v>
      </c>
      <c r="J15" s="27" t="n">
        <v>0</v>
      </c>
      <c r="K15" s="27" t="n">
        <v>0</v>
      </c>
      <c r="L15" s="28" t="n">
        <v>208149532</v>
      </c>
      <c r="M15" s="29" t="n">
        <v>0.3568749166018392</v>
      </c>
    </row>
    <row r="16">
      <c r="B16" s="26" t="n">
        <v>10</v>
      </c>
      <c r="C16" s="18" t="inlineStr">
        <is>
          <t>Phạm Thị Kim Nhung</t>
        </is>
      </c>
      <c r="D16" s="27" t="n">
        <v>1161621042</v>
      </c>
      <c r="E16" s="27" t="n">
        <v>399092971</v>
      </c>
      <c r="F16" s="27" t="n">
        <v>0</v>
      </c>
      <c r="G16" s="27" t="n">
        <v>0</v>
      </c>
      <c r="H16" s="27" t="n">
        <v>0</v>
      </c>
      <c r="I16" s="27" t="n">
        <v>0</v>
      </c>
      <c r="J16" s="27" t="n">
        <v>11234100</v>
      </c>
      <c r="K16" s="27" t="n">
        <v>0</v>
      </c>
      <c r="L16" s="28" t="n">
        <v>410327071</v>
      </c>
      <c r="M16" s="29" t="n">
        <v>0.3532366031296461</v>
      </c>
    </row>
    <row r="17">
      <c r="B17" s="30" t="n"/>
      <c r="C17" s="31" t="inlineStr">
        <is>
          <t>TỔNG TEAM</t>
        </is>
      </c>
      <c r="D17" s="32">
        <f>SUM(D7:D16)</f>
        <v/>
      </c>
      <c r="E17" s="32">
        <f>SUM(E7:E16)</f>
        <v/>
      </c>
      <c r="F17" s="32">
        <f>SUM(F7:F16)</f>
        <v/>
      </c>
      <c r="G17" s="32">
        <f>SUM(G7:G16)</f>
        <v/>
      </c>
      <c r="H17" s="32">
        <f>SUM(H7:H16)</f>
        <v/>
      </c>
      <c r="I17" s="32">
        <f>SUM(I7:I16)</f>
        <v/>
      </c>
      <c r="J17" s="32">
        <f>SUM(J7:J16)</f>
        <v/>
      </c>
      <c r="K17" s="32">
        <f>SUM(K7:K16)</f>
        <v/>
      </c>
      <c r="L17" s="32">
        <f>SUM(L7:L16)</f>
        <v/>
      </c>
      <c r="M17" s="33">
        <f>L17/D17</f>
        <v/>
      </c>
    </row>
    <row r="19">
      <c r="B19" s="34" t="inlineStr">
        <is>
          <t>📌 % Đạt ≥ % Timegone (46.7%) → Vượt/Đạt tiến độ 🟢 (#28E11F) | Cận Timegone (35.0% - &lt;46.7%) → Cảnh báo 🟠 (#F5991F) | Thấp hơn nhiều (&lt;35.0%) → Cần đẩy nhanh 🔴 (#DD2323)</t>
        </is>
      </c>
    </row>
    <row r="20">
      <c r="B20" s="35" t="inlineStr">
        <is>
          <t>🧮 BHX cố định = (Tổng BHX ÷ 232) × Số CH phụ trách | Thực Hiện = BHX + GS25 + 7E + FM + CK + HĐ + WMP | % Đạt = TH ÷ Target</t>
        </is>
      </c>
    </row>
  </sheetData>
  <mergeCells count="5">
    <mergeCell ref="E5:K5"/>
    <mergeCell ref="B2:M2"/>
    <mergeCell ref="B19:M19"/>
    <mergeCell ref="B20:M20"/>
    <mergeCell ref="L5:M5"/>
  </mergeCells>
  <conditionalFormatting sqref="M7:M16">
    <cfRule type="cellIs" priority="1" operator="greaterThanOrEqual" dxfId="0" stopIfTrue="1">
      <formula>0.4667</formula>
    </cfRule>
    <cfRule type="cellIs" priority="2" operator="between" dxfId="1" stopIfTrue="1">
      <formula>0.35</formula>
      <formula>0.4667</formula>
    </cfRule>
    <cfRule type="cellIs" priority="3" operator="lessThan" dxfId="2" stopIfTrue="1">
      <formula>0.35</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3"/>
  <sheetViews>
    <sheetView workbookViewId="0">
      <pane ySplit="3" topLeftCell="A4" activePane="bottomLeft" state="frozen"/>
      <selection pane="bottomLeft" activeCell="A1" sqref="A1"/>
    </sheetView>
  </sheetViews>
  <sheetFormatPr baseColWidth="8" defaultRowHeight="15"/>
  <cols>
    <col width="6" customWidth="1" min="1" max="1"/>
    <col width="20" customWidth="1" min="2" max="2"/>
    <col width="13" customWidth="1" min="3" max="3"/>
    <col width="15" customWidth="1" min="4" max="4"/>
    <col width="40" customWidth="1" min="5" max="5"/>
    <col width="18" customWidth="1" min="6" max="6"/>
  </cols>
  <sheetData>
    <row r="1" ht="30" customHeight="1">
      <c r="A1" s="21" t="inlineStr">
        <is>
          <t>CHI TIẾT DOANH SỐ CVS - TỪNG CỬA HÀNG</t>
        </is>
      </c>
    </row>
    <row r="2"/>
    <row r="3" ht="25" customHeight="1">
      <c r="A3" s="24" t="inlineStr">
        <is>
          <t>STT</t>
        </is>
      </c>
      <c r="B3" s="24" t="inlineStr">
        <is>
          <t>Nhân Viên</t>
        </is>
      </c>
      <c r="C3" s="24" t="inlineStr">
        <is>
          <t>Chuỗi</t>
        </is>
      </c>
      <c r="D3" s="24" t="inlineStr">
        <is>
          <t>Mã CH</t>
        </is>
      </c>
      <c r="E3" s="24" t="inlineStr">
        <is>
          <t>Địa Chỉ</t>
        </is>
      </c>
      <c r="F3" s="24" t="inlineStr">
        <is>
          <t>Thực Hiện</t>
        </is>
      </c>
    </row>
    <row r="4">
      <c r="A4" s="36" t="inlineStr">
        <is>
          <t>👤 Bùi Thị Sen (6 cửa hàng CVS)</t>
        </is>
      </c>
      <c r="E4" s="37" t="inlineStr">
        <is>
          <t>TỔNG CVS:</t>
        </is>
      </c>
      <c r="F4" s="38" t="n">
        <v>13622532</v>
      </c>
    </row>
    <row r="5">
      <c r="A5" s="39" t="n">
        <v>1</v>
      </c>
      <c r="B5" t="inlineStr">
        <is>
          <t>Bùi Thị Sen</t>
        </is>
      </c>
      <c r="C5" s="40" t="inlineStr">
        <is>
          <t>GS25</t>
        </is>
      </c>
      <c r="D5" s="41" t="inlineStr">
        <is>
          <t>CVS_GS25.79.6766</t>
        </is>
      </c>
      <c r="E5" s="41" t="inlineStr">
        <is>
          <t>14 Đường Nguyễn Thanh Đằng, Phường Phước Trung, Thành phố Bà Rịa, Tỉnh Bà Rịa - Vũng Tàu</t>
        </is>
      </c>
      <c r="F5" s="42" t="n">
        <v>2270422</v>
      </c>
    </row>
    <row r="6">
      <c r="A6" s="39" t="n">
        <v>2</v>
      </c>
      <c r="B6" t="inlineStr">
        <is>
          <t>Bùi Thị Sen</t>
        </is>
      </c>
      <c r="C6" s="40" t="inlineStr">
        <is>
          <t>GS25</t>
        </is>
      </c>
      <c r="D6" s="41" t="inlineStr">
        <is>
          <t>CVS_GS25.79.6600</t>
        </is>
      </c>
      <c r="E6" s="41" t="inlineStr">
        <is>
          <t>66 Đường Nguyễn Tất Thành, Khu phố 1, Phường Phước Nguyên, Thành phố Bà Rịa – Vũng Tàu</t>
        </is>
      </c>
      <c r="F6" s="42" t="n">
        <v>2270422</v>
      </c>
    </row>
    <row r="7">
      <c r="A7" s="39" t="n">
        <v>3</v>
      </c>
      <c r="B7" t="inlineStr">
        <is>
          <t>Bùi Thị Sen</t>
        </is>
      </c>
      <c r="C7" s="40" t="inlineStr">
        <is>
          <t>GS25</t>
        </is>
      </c>
      <c r="D7" s="41" t="inlineStr">
        <is>
          <t>CVS_GS25.79.6971</t>
        </is>
      </c>
      <c r="E7" s="41" t="inlineStr">
        <is>
          <t>Siêu thị GS-25 240, Nguyễn Hữu Cảnh</t>
        </is>
      </c>
      <c r="F7" s="42" t="n">
        <v>2270422</v>
      </c>
    </row>
    <row r="8">
      <c r="A8" s="39" t="n">
        <v>4</v>
      </c>
      <c r="B8" t="inlineStr">
        <is>
          <t>Bùi Thị Sen</t>
        </is>
      </c>
      <c r="C8" s="40" t="inlineStr">
        <is>
          <t>GS25</t>
        </is>
      </c>
      <c r="D8" s="41" t="inlineStr">
        <is>
          <t>CVS_GS25.79.6966</t>
        </is>
      </c>
      <c r="E8" s="41" t="inlineStr">
        <is>
          <t>Siêu thị GS-25 844, Bình Giã</t>
        </is>
      </c>
      <c r="F8" s="42" t="n">
        <v>2270422</v>
      </c>
    </row>
    <row r="9">
      <c r="A9" s="39" t="n">
        <v>5</v>
      </c>
      <c r="B9" t="inlineStr">
        <is>
          <t>Bùi Thị Sen</t>
        </is>
      </c>
      <c r="C9" s="40" t="inlineStr">
        <is>
          <t>GS25</t>
        </is>
      </c>
      <c r="D9" s="41" t="inlineStr">
        <is>
          <t>CVS_GS25.79.6599</t>
        </is>
      </c>
      <c r="E9" s="41" t="inlineStr">
        <is>
          <t>Số 351 Đường Nguyễn Văn Linh, Phường Phước Nguyên, Thành phố Bà Rịa, Tỉnh Bà Rịa – Vũng Tàu</t>
        </is>
      </c>
      <c r="F9" s="42" t="n">
        <v>2270422</v>
      </c>
    </row>
    <row r="10">
      <c r="A10" s="39" t="n">
        <v>6</v>
      </c>
      <c r="B10" t="inlineStr">
        <is>
          <t>Bùi Thị Sen</t>
        </is>
      </c>
      <c r="C10" s="40" t="inlineStr">
        <is>
          <t>GS25</t>
        </is>
      </c>
      <c r="D10" s="41" t="inlineStr">
        <is>
          <t>CVS_GS25.79.6655</t>
        </is>
      </c>
      <c r="E10" s="41" t="inlineStr">
        <is>
          <t>Số 9 Đường Trần Hưng Đạo, Phường Phước Nguyên, TP Bà Rịa, Tỉnh Bà Rịa Vũng Tàu</t>
        </is>
      </c>
      <c r="F10" s="42" t="n">
        <v>2270422</v>
      </c>
    </row>
    <row r="11"/>
    <row r="12">
      <c r="A12" s="36" t="inlineStr">
        <is>
          <t>👤 Chắng Lý Quỳnh (1 cửa hàng CVS)</t>
        </is>
      </c>
      <c r="E12" s="37" t="inlineStr">
        <is>
          <t>TỔNG CVS:</t>
        </is>
      </c>
      <c r="F12" s="38" t="n">
        <v>2270422</v>
      </c>
    </row>
    <row r="13">
      <c r="A13" s="39" t="n">
        <v>7</v>
      </c>
      <c r="B13" t="inlineStr">
        <is>
          <t>Chắng Lý Quỳnh</t>
        </is>
      </c>
      <c r="C13" s="40" t="inlineStr">
        <is>
          <t>GS25</t>
        </is>
      </c>
      <c r="D13" s="41" t="inlineStr">
        <is>
          <t>CVS_GS25.75.6921</t>
        </is>
      </c>
      <c r="E13" s="41" t="inlineStr">
        <is>
          <t>Siêu Thị GS-25148, Bùi Văn Hòa, P,An Bình, TP,Biên Hòa, Đồng Nai</t>
        </is>
      </c>
      <c r="F13" s="42" t="n">
        <v>2270422</v>
      </c>
    </row>
    <row r="14"/>
    <row r="15">
      <c r="A15" s="36" t="inlineStr">
        <is>
          <t>👤 Kim Hoàng Khang (7 cửa hàng CVS)</t>
        </is>
      </c>
      <c r="E15" s="37" t="inlineStr">
        <is>
          <t>TỔNG CVS:</t>
        </is>
      </c>
      <c r="F15" s="38" t="n">
        <v>15438632</v>
      </c>
    </row>
    <row r="16">
      <c r="A16" s="39" t="n">
        <v>8</v>
      </c>
      <c r="B16" t="inlineStr">
        <is>
          <t>Kim Hoàng Khang</t>
        </is>
      </c>
      <c r="C16" s="43" t="inlineStr">
        <is>
          <t>FamilyMart</t>
        </is>
      </c>
      <c r="D16" s="41" t="inlineStr">
        <is>
          <t>CVS_FAMILYMART.75.2551</t>
        </is>
      </c>
      <c r="E16" s="41" t="inlineStr">
        <is>
          <t>201, Nguyễn Khuyến, , P.Trảng Dài, Đồng Nai</t>
        </is>
      </c>
      <c r="F16" s="42" t="n">
        <v>1816100</v>
      </c>
    </row>
    <row r="17">
      <c r="A17" s="39" t="n">
        <v>9</v>
      </c>
      <c r="B17" t="inlineStr">
        <is>
          <t>Kim Hoàng Khang</t>
        </is>
      </c>
      <c r="C17" s="40" t="inlineStr">
        <is>
          <t>GS25</t>
        </is>
      </c>
      <c r="D17" s="41" t="inlineStr">
        <is>
          <t>CVS_GS25.75.6760</t>
        </is>
      </c>
      <c r="E17" s="41" t="inlineStr">
        <is>
          <t>277 Đường Bùi Trọng Nghĩa, Phường Trảng Dài, Thành phố Biên Hòa, Tỉnh Đồng Nai</t>
        </is>
      </c>
      <c r="F17" s="42" t="n">
        <v>2270422</v>
      </c>
    </row>
    <row r="18">
      <c r="A18" s="39" t="n">
        <v>10</v>
      </c>
      <c r="B18" t="inlineStr">
        <is>
          <t>Kim Hoàng Khang</t>
        </is>
      </c>
      <c r="C18" s="40" t="inlineStr">
        <is>
          <t>GS25</t>
        </is>
      </c>
      <c r="D18" s="41" t="inlineStr">
        <is>
          <t>CVS_GS25.75.6922</t>
        </is>
      </c>
      <c r="E18" s="41" t="inlineStr">
        <is>
          <t>622 Nguyễn Ái Quốc, P,Hố Nai, TP,Biên Hòa, Đồng Nai</t>
        </is>
      </c>
      <c r="F18" s="42" t="n">
        <v>2270422</v>
      </c>
    </row>
    <row r="19">
      <c r="A19" s="39" t="n">
        <v>11</v>
      </c>
      <c r="B19" t="inlineStr">
        <is>
          <t>Kim Hoàng Khang</t>
        </is>
      </c>
      <c r="C19" s="40" t="inlineStr">
        <is>
          <t>GS25</t>
        </is>
      </c>
      <c r="D19" s="41" t="inlineStr">
        <is>
          <t>CVS_GS25.75.6632</t>
        </is>
      </c>
      <c r="E19" s="41" t="inlineStr">
        <is>
          <t>763 Nguyễn Ái Quốc, Khu phố 1, Phường Tân Hiệp, Thành phố Biên Hòa, Tỉnh Đồng Nai</t>
        </is>
      </c>
      <c r="F19" s="42" t="n">
        <v>2270422</v>
      </c>
    </row>
    <row r="20">
      <c r="A20" s="39" t="n">
        <v>12</v>
      </c>
      <c r="B20" t="inlineStr">
        <is>
          <t>Kim Hoàng Khang</t>
        </is>
      </c>
      <c r="C20" s="40" t="inlineStr">
        <is>
          <t>GS25</t>
        </is>
      </c>
      <c r="D20" s="41" t="inlineStr">
        <is>
          <t>CVS_GS25.75.6891</t>
        </is>
      </c>
      <c r="E20" s="41" t="inlineStr">
        <is>
          <t>GS25 974 Đồng Khởi – Đồng Nai</t>
        </is>
      </c>
      <c r="F20" s="42" t="n">
        <v>2270422</v>
      </c>
    </row>
    <row r="21">
      <c r="A21" s="39" t="n">
        <v>13</v>
      </c>
      <c r="B21" t="inlineStr">
        <is>
          <t>Kim Hoàng Khang</t>
        </is>
      </c>
      <c r="C21" s="40" t="inlineStr">
        <is>
          <t>GS25</t>
        </is>
      </c>
      <c r="D21" s="41" t="inlineStr">
        <is>
          <t>CVS_GS25.75.6919</t>
        </is>
      </c>
      <c r="E21" s="41" t="inlineStr">
        <is>
          <t>Siêu thị GS-25 1/49, Nguyễn Ái Quốc</t>
        </is>
      </c>
      <c r="F21" s="42" t="n">
        <v>2270422</v>
      </c>
    </row>
    <row r="22">
      <c r="A22" s="39" t="n">
        <v>14</v>
      </c>
      <c r="B22" t="inlineStr">
        <is>
          <t>Kim Hoàng Khang</t>
        </is>
      </c>
      <c r="C22" s="40" t="inlineStr">
        <is>
          <t>GS25</t>
        </is>
      </c>
      <c r="D22" s="41" t="inlineStr">
        <is>
          <t>CVS_GS25.75.6887</t>
        </is>
      </c>
      <c r="E22" s="41" t="inlineStr">
        <is>
          <t>Siêu thị GS-25 L1-16 Khu dân cư Phú Gia 2</t>
        </is>
      </c>
      <c r="F22" s="42" t="n">
        <v>2270422</v>
      </c>
    </row>
    <row r="23"/>
    <row r="24">
      <c r="A24" s="36" t="inlineStr">
        <is>
          <t>👤 Lê Thị Thùy Châu (3 cửa hàng CVS)</t>
        </is>
      </c>
      <c r="E24" s="37" t="inlineStr">
        <is>
          <t>TỔNG CVS:</t>
        </is>
      </c>
      <c r="F24" s="38" t="n">
        <v>34581126</v>
      </c>
    </row>
    <row r="25">
      <c r="A25" s="39" t="n">
        <v>15</v>
      </c>
      <c r="B25" t="inlineStr">
        <is>
          <t>Lê Thị Thùy Châu</t>
        </is>
      </c>
      <c r="C25" s="44" t="inlineStr">
        <is>
          <t>Circle K</t>
        </is>
      </c>
      <c r="D25" s="41" t="inlineStr">
        <is>
          <t>CVS_CIRCLEK.75.4325</t>
        </is>
      </c>
      <c r="E25" s="41" t="inlineStr">
        <is>
          <t>373, Hồ Thị Hương, P.Xuân Thanh, TP.Long Khánh, T.Đồng Nai</t>
        </is>
      </c>
      <c r="F25" s="42" t="n">
        <v>3771969</v>
      </c>
    </row>
    <row r="26">
      <c r="A26" s="39" t="n">
        <v>16</v>
      </c>
      <c r="B26" t="inlineStr">
        <is>
          <t>Lê Thị Thùy Châu</t>
        </is>
      </c>
      <c r="C26" s="44" t="inlineStr">
        <is>
          <t>Circle K</t>
        </is>
      </c>
      <c r="D26" s="41" t="inlineStr">
        <is>
          <t>CVS_CIRCLEK.75.4326</t>
        </is>
      </c>
      <c r="E26" s="41" t="inlineStr">
        <is>
          <t>Số 22, Cách Mạng Tháng Tám, P.Long Khánh, T.Đồng Nai</t>
        </is>
      </c>
      <c r="F26" s="42" t="n">
        <v>3915157</v>
      </c>
    </row>
    <row r="27">
      <c r="A27" s="39" t="n">
        <v>17</v>
      </c>
      <c r="B27" t="inlineStr">
        <is>
          <t>Lê Thị Thùy Châu</t>
        </is>
      </c>
      <c r="C27" s="45" t="inlineStr">
        <is>
          <t>Hoàng Đức Long Khánh</t>
        </is>
      </c>
      <c r="D27" s="41" t="inlineStr">
        <is>
          <t>CVS_THECITY.75.1254</t>
        </is>
      </c>
      <c r="E27" s="41" t="inlineStr">
        <is>
          <t>198 Hùng Vương, Khu phố 17, Phường Long Khánh, Tỉnh Đồng Nai, Việt Nam</t>
        </is>
      </c>
      <c r="F27" s="42" t="n">
        <v>26894000</v>
      </c>
    </row>
    <row r="28"/>
    <row r="29">
      <c r="A29" s="36" t="inlineStr">
        <is>
          <t>👤 Não Thị Anh Đào (34 cửa hàng CVS)</t>
        </is>
      </c>
      <c r="E29" s="37" t="inlineStr">
        <is>
          <t>TỔNG CVS:</t>
        </is>
      </c>
      <c r="F29" s="38" t="n">
        <v>79239773</v>
      </c>
    </row>
    <row r="30">
      <c r="A30" s="39" t="n">
        <v>18</v>
      </c>
      <c r="B30" t="inlineStr">
        <is>
          <t>Não Thị Anh Đào</t>
        </is>
      </c>
      <c r="C30" s="44" t="inlineStr">
        <is>
          <t>Circle K</t>
        </is>
      </c>
      <c r="D30" s="41" t="inlineStr">
        <is>
          <t>CVS_CIRCLEK.79.4052</t>
        </is>
      </c>
      <c r="E30" s="41" t="inlineStr">
        <is>
          <t>105, Lê Trọng Tấn, P.Dĩ An, TP.Hồ Chí Minh</t>
        </is>
      </c>
      <c r="F30" s="42" t="n">
        <v>6229361</v>
      </c>
    </row>
    <row r="31">
      <c r="A31" s="39" t="n">
        <v>19</v>
      </c>
      <c r="B31" t="inlineStr">
        <is>
          <t>Não Thị Anh Đào</t>
        </is>
      </c>
      <c r="C31" s="44" t="inlineStr">
        <is>
          <t>Circle K</t>
        </is>
      </c>
      <c r="D31" s="41" t="inlineStr">
        <is>
          <t>CVS_CIRCLEK.75.4159</t>
        </is>
      </c>
      <c r="E31" s="41" t="inlineStr">
        <is>
          <t>1347, Nguyễn Ái Quốc, P.Tân Tiến, TP.Biên Hòa, T.Đồng Nai</t>
        </is>
      </c>
      <c r="F31" s="42" t="n">
        <v>2547861</v>
      </c>
    </row>
    <row r="32">
      <c r="A32" s="39" t="n">
        <v>20</v>
      </c>
      <c r="B32" t="inlineStr">
        <is>
          <t>Não Thị Anh Đào</t>
        </is>
      </c>
      <c r="C32" s="44" t="inlineStr">
        <is>
          <t>Circle K</t>
        </is>
      </c>
      <c r="D32" s="41" t="inlineStr">
        <is>
          <t>CVS_CIRCLEK.75.4160</t>
        </is>
      </c>
      <c r="E32" s="41" t="inlineStr">
        <is>
          <t>144, Phan Trung, Khu phố 7, P.Tân Tiến, TP.Biên Hòa, T.Đồng Nai</t>
        </is>
      </c>
      <c r="F32" s="42" t="n">
        <v>3873153</v>
      </c>
    </row>
    <row r="33">
      <c r="A33" s="39" t="n">
        <v>21</v>
      </c>
      <c r="B33" t="inlineStr">
        <is>
          <t>Não Thị Anh Đào</t>
        </is>
      </c>
      <c r="C33" s="44" t="inlineStr">
        <is>
          <t>Circle K</t>
        </is>
      </c>
      <c r="D33" s="41" t="inlineStr">
        <is>
          <t>CVS_CIRCLEK.75.4097</t>
        </is>
      </c>
      <c r="E33" s="41" t="inlineStr">
        <is>
          <t>Số 78, Võ Thị Sáu, P.Quyết Thắng, TP.Biên Hòa, T.Đồng Nai</t>
        </is>
      </c>
      <c r="F33" s="42" t="n">
        <v>0</v>
      </c>
    </row>
    <row r="34">
      <c r="A34" s="39" t="n">
        <v>22</v>
      </c>
      <c r="B34" t="inlineStr">
        <is>
          <t>Não Thị Anh Đào</t>
        </is>
      </c>
      <c r="C34" s="43" t="inlineStr">
        <is>
          <t>FamilyMart</t>
        </is>
      </c>
      <c r="D34" s="41" t="inlineStr">
        <is>
          <t>CVS_FAMILYMART.75.2552</t>
        </is>
      </c>
      <c r="E34" s="41" t="inlineStr">
        <is>
          <t>198-198A, Phan Đình Phùng, , P.Trấn Biên, Đồng Nai</t>
        </is>
      </c>
      <c r="F34" s="42" t="n">
        <v>1705800</v>
      </c>
    </row>
    <row r="35">
      <c r="A35" s="39" t="n">
        <v>23</v>
      </c>
      <c r="B35" t="inlineStr">
        <is>
          <t>Não Thị Anh Đào</t>
        </is>
      </c>
      <c r="C35" s="43" t="inlineStr">
        <is>
          <t>FamilyMart</t>
        </is>
      </c>
      <c r="D35" s="41" t="inlineStr">
        <is>
          <t>CVS_FAMILYMART.79.2507</t>
        </is>
      </c>
      <c r="E35" s="41" t="inlineStr">
        <is>
          <t>2, Nguyễn An Ninh, , P.Dĩ An, Hồ Chí Minh</t>
        </is>
      </c>
      <c r="F35" s="42" t="n">
        <v>2663700</v>
      </c>
    </row>
    <row r="36">
      <c r="A36" s="39" t="n">
        <v>24</v>
      </c>
      <c r="B36" t="inlineStr">
        <is>
          <t>Não Thị Anh Đào</t>
        </is>
      </c>
      <c r="C36" s="43" t="inlineStr">
        <is>
          <t>FamilyMart</t>
        </is>
      </c>
      <c r="D36" s="41" t="inlineStr">
        <is>
          <t>CVS_FAMILYMART.75.2591</t>
        </is>
      </c>
      <c r="E36" s="41" t="inlineStr">
        <is>
          <t>A2, Trần Quốc Toản, , P.Tam Hiệp, Đồng Nai</t>
        </is>
      </c>
      <c r="F36" s="42" t="n">
        <v>2597550</v>
      </c>
    </row>
    <row r="37">
      <c r="A37" s="39" t="n">
        <v>25</v>
      </c>
      <c r="B37" t="inlineStr">
        <is>
          <t>Não Thị Anh Đào</t>
        </is>
      </c>
      <c r="C37" s="40" t="inlineStr">
        <is>
          <t>GS25</t>
        </is>
      </c>
      <c r="D37" s="41" t="inlineStr">
        <is>
          <t>CVS_GS25.75.6698</t>
        </is>
      </c>
      <c r="E37" s="41" t="inlineStr">
        <is>
          <t>1363A Nguyễn Ái Quốc, khu phố 6, Phường Tân Tiến, Thành phố Biên Hòa, Tỉnh Đồng Nai</t>
        </is>
      </c>
      <c r="F37" s="42" t="n">
        <v>2270422</v>
      </c>
    </row>
    <row r="38">
      <c r="A38" s="39" t="n">
        <v>26</v>
      </c>
      <c r="B38" t="inlineStr">
        <is>
          <t>Não Thị Anh Đào</t>
        </is>
      </c>
      <c r="C38" s="40" t="inlineStr">
        <is>
          <t>GS25</t>
        </is>
      </c>
      <c r="D38" s="41" t="inlineStr">
        <is>
          <t>CVS_GS25.75.6696</t>
        </is>
      </c>
      <c r="E38" s="41" t="inlineStr">
        <is>
          <t>170 Đường 30/4, Phường Trung Dũng, Thành phố Biên Hòa, Tỉnh Đồng Nai</t>
        </is>
      </c>
      <c r="F38" s="42" t="n">
        <v>2270422</v>
      </c>
    </row>
    <row r="39">
      <c r="A39" s="39" t="n">
        <v>27</v>
      </c>
      <c r="B39" t="inlineStr">
        <is>
          <t>Não Thị Anh Đào</t>
        </is>
      </c>
      <c r="C39" s="40" t="inlineStr">
        <is>
          <t>GS25</t>
        </is>
      </c>
      <c r="D39" s="41" t="inlineStr"/>
      <c r="E39" s="41" t="inlineStr">
        <is>
          <t>40 Đ. Thống Nhất, Đông Hòa, Hồ Chí Minh, Việt Nam</t>
        </is>
      </c>
      <c r="F39" s="42" t="n">
        <v>2270422</v>
      </c>
    </row>
    <row r="40">
      <c r="A40" s="39" t="n">
        <v>28</v>
      </c>
      <c r="B40" t="inlineStr">
        <is>
          <t>Não Thị Anh Đào</t>
        </is>
      </c>
      <c r="C40" s="40" t="inlineStr">
        <is>
          <t>GS25</t>
        </is>
      </c>
      <c r="D40" s="41" t="inlineStr">
        <is>
          <t>CVS_GS25.75.6683</t>
        </is>
      </c>
      <c r="E40" s="41" t="inlineStr">
        <is>
          <t>Cửa hàng R03, Tầng 01, dự án chung cư Block B (Topaz Twins) – Khu trung tâm thương mại kết hợp nhà ở cao tầng, Phường Thống Nhất, Thành phố Biên Hòa, Tỉnh Đồng Nai</t>
        </is>
      </c>
      <c r="F40" s="42" t="n">
        <v>2270422</v>
      </c>
    </row>
    <row r="41">
      <c r="A41" s="39" t="n">
        <v>29</v>
      </c>
      <c r="B41" t="inlineStr">
        <is>
          <t>Não Thị Anh Đào</t>
        </is>
      </c>
      <c r="C41" s="40" t="inlineStr">
        <is>
          <t>GS25</t>
        </is>
      </c>
      <c r="D41" s="41" t="inlineStr">
        <is>
          <t>CVS_GS25.75.6892</t>
        </is>
      </c>
      <c r="E41" s="41" t="inlineStr">
        <is>
          <t>GS25 196 Võ Thị Sáu  - Đồng Nai</t>
        </is>
      </c>
      <c r="F41" s="42" t="n">
        <v>2270422</v>
      </c>
    </row>
    <row r="42">
      <c r="A42" s="39" t="n">
        <v>30</v>
      </c>
      <c r="B42" t="inlineStr">
        <is>
          <t>Não Thị Anh Đào</t>
        </is>
      </c>
      <c r="C42" s="40" t="inlineStr">
        <is>
          <t>GS25</t>
        </is>
      </c>
      <c r="D42" s="41" t="inlineStr">
        <is>
          <t>CVS_GS25.79.6598</t>
        </is>
      </c>
      <c r="E42" s="41" t="inlineStr">
        <is>
          <t>GS25 CHARM CITY – BÌNH DƯƠNG</t>
        </is>
      </c>
      <c r="F42" s="42" t="n">
        <v>2270422</v>
      </c>
    </row>
    <row r="43">
      <c r="A43" s="39" t="n">
        <v>31</v>
      </c>
      <c r="B43" t="inlineStr">
        <is>
          <t>Não Thị Anh Đào</t>
        </is>
      </c>
      <c r="C43" s="40" t="inlineStr">
        <is>
          <t>GS25</t>
        </is>
      </c>
      <c r="D43" s="41" t="inlineStr">
        <is>
          <t>CVS_GS25.79.6615</t>
        </is>
      </c>
      <c r="E43" s="41" t="inlineStr">
        <is>
          <t>GS25 Đường GS01, Đông Hòa Dĩ An - Đường GS01, Phường Đông Hòa, TP Hồ Chí Minh</t>
        </is>
      </c>
      <c r="F43" s="42" t="n">
        <v>2270422</v>
      </c>
    </row>
    <row r="44">
      <c r="A44" s="39" t="n">
        <v>32</v>
      </c>
      <c r="B44" t="inlineStr">
        <is>
          <t>Não Thị Anh Đào</t>
        </is>
      </c>
      <c r="C44" s="40" t="inlineStr">
        <is>
          <t>GS25</t>
        </is>
      </c>
      <c r="D44" s="41" t="inlineStr">
        <is>
          <t>CVS_GS25.79.6597</t>
        </is>
      </c>
      <c r="E44" s="41" t="inlineStr">
        <is>
          <t>GS25 Đường Số 9 Dĩ An – Bình Dương</t>
        </is>
      </c>
      <c r="F44" s="42" t="n">
        <v>2270422</v>
      </c>
    </row>
    <row r="45">
      <c r="A45" s="39" t="n">
        <v>33</v>
      </c>
      <c r="B45" t="inlineStr">
        <is>
          <t>Não Thị Anh Đào</t>
        </is>
      </c>
      <c r="C45" s="40" t="inlineStr">
        <is>
          <t>GS25</t>
        </is>
      </c>
      <c r="D45" s="41" t="inlineStr">
        <is>
          <t>CVS_GS25.75.6890</t>
        </is>
      </c>
      <c r="E45" s="41" t="inlineStr">
        <is>
          <t>GS25 Hà Huy Giáp - Biên Hòa</t>
        </is>
      </c>
      <c r="F45" s="42" t="n">
        <v>2270422</v>
      </c>
    </row>
    <row r="46">
      <c r="A46" s="39" t="n">
        <v>34</v>
      </c>
      <c r="B46" t="inlineStr">
        <is>
          <t>Não Thị Anh Đào</t>
        </is>
      </c>
      <c r="C46" s="40" t="inlineStr">
        <is>
          <t>GS25</t>
        </is>
      </c>
      <c r="D46" s="41" t="inlineStr">
        <is>
          <t>CVS_GS25.79.6699</t>
        </is>
      </c>
      <c r="E46" s="41" t="inlineStr">
        <is>
          <t>Khu B, Tầng 1, Block C, Dự án khu căn hộ chung cư HT – Ngọc Châu (HT – Pearl Apartment), 29/8 Nguyễn Bỉnh Khiêm, Khu phố Tân Hòa, Phường Đông Hòa, Thành phố Dĩ An, Tỉnh Bình Dương</t>
        </is>
      </c>
      <c r="F46" s="42" t="n">
        <v>2270422</v>
      </c>
    </row>
    <row r="47">
      <c r="A47" s="39" t="n">
        <v>35</v>
      </c>
      <c r="B47" t="inlineStr">
        <is>
          <t>Não Thị Anh Đào</t>
        </is>
      </c>
      <c r="C47" s="40" t="inlineStr">
        <is>
          <t>GS25</t>
        </is>
      </c>
      <c r="D47" s="41" t="inlineStr">
        <is>
          <t>CVS_GS25.75.6889</t>
        </is>
      </c>
      <c r="E47" s="41" t="inlineStr">
        <is>
          <t>Siêu thị GS-25 165, Cách Mạng Tháng Tám</t>
        </is>
      </c>
      <c r="F47" s="42" t="n">
        <v>2270422</v>
      </c>
    </row>
    <row r="48">
      <c r="A48" s="39" t="n">
        <v>36</v>
      </c>
      <c r="B48" t="inlineStr">
        <is>
          <t>Não Thị Anh Đào</t>
        </is>
      </c>
      <c r="C48" s="40" t="inlineStr">
        <is>
          <t>GS25</t>
        </is>
      </c>
      <c r="D48" s="41" t="inlineStr">
        <is>
          <t>CVS_GS25.79.6596</t>
        </is>
      </c>
      <c r="E48" s="41" t="inlineStr">
        <is>
          <t>Siêu thị GS-25 167-169, Nguyễn Trãi</t>
        </is>
      </c>
      <c r="F48" s="42" t="n">
        <v>2270422</v>
      </c>
    </row>
    <row r="49">
      <c r="A49" s="39" t="n">
        <v>37</v>
      </c>
      <c r="B49" t="inlineStr">
        <is>
          <t>Não Thị Anh Đào</t>
        </is>
      </c>
      <c r="C49" s="40" t="inlineStr">
        <is>
          <t>GS25</t>
        </is>
      </c>
      <c r="D49" s="41" t="inlineStr">
        <is>
          <t>CVS_GS25.75.6920</t>
        </is>
      </c>
      <c r="E49" s="41" t="inlineStr">
        <is>
          <t>Siêu thị GS-25 250, Phan Trung</t>
        </is>
      </c>
      <c r="F49" s="42" t="n">
        <v>2270422</v>
      </c>
    </row>
    <row r="50">
      <c r="A50" s="39" t="n">
        <v>38</v>
      </c>
      <c r="B50" t="inlineStr">
        <is>
          <t>Não Thị Anh Đào</t>
        </is>
      </c>
      <c r="C50" s="40" t="inlineStr">
        <is>
          <t>GS25</t>
        </is>
      </c>
      <c r="D50" s="41" t="inlineStr">
        <is>
          <t>CVS_GS25.79.6593</t>
        </is>
      </c>
      <c r="E50" s="41" t="inlineStr">
        <is>
          <t>Siêu thị GS-25 330A, Lê Hồng Phong</t>
        </is>
      </c>
      <c r="F50" s="42" t="n">
        <v>2270422</v>
      </c>
    </row>
    <row r="51">
      <c r="A51" s="39" t="n">
        <v>39</v>
      </c>
      <c r="B51" t="inlineStr">
        <is>
          <t>Não Thị Anh Đào</t>
        </is>
      </c>
      <c r="C51" s="40" t="inlineStr">
        <is>
          <t>GS25</t>
        </is>
      </c>
      <c r="D51" s="41" t="inlineStr">
        <is>
          <t>CVS_GS25.75.6918</t>
        </is>
      </c>
      <c r="E51" s="41" t="inlineStr">
        <is>
          <t>Siêu thị GS-25 342, Đồng Khởi</t>
        </is>
      </c>
      <c r="F51" s="42" t="n">
        <v>2270422</v>
      </c>
    </row>
    <row r="52">
      <c r="A52" s="39" t="n">
        <v>40</v>
      </c>
      <c r="B52" t="inlineStr">
        <is>
          <t>Não Thị Anh Đào</t>
        </is>
      </c>
      <c r="C52" s="40" t="inlineStr">
        <is>
          <t>GS25</t>
        </is>
      </c>
      <c r="D52" s="41" t="inlineStr">
        <is>
          <t>CVS_GS25.79.6594</t>
        </is>
      </c>
      <c r="E52" s="41" t="inlineStr">
        <is>
          <t>Siêu thị GS-25 51A-51B, Lý Thường Kiệt</t>
        </is>
      </c>
      <c r="F52" s="42" t="n">
        <v>2270422</v>
      </c>
    </row>
    <row r="53">
      <c r="A53" s="39" t="n">
        <v>41</v>
      </c>
      <c r="B53" t="inlineStr">
        <is>
          <t>Não Thị Anh Đào</t>
        </is>
      </c>
      <c r="C53" s="40" t="inlineStr">
        <is>
          <t>GS25</t>
        </is>
      </c>
      <c r="D53" s="41" t="inlineStr">
        <is>
          <t>CVS_GS25.75.6888</t>
        </is>
      </c>
      <c r="E53" s="41" t="inlineStr">
        <is>
          <t>Siêu thị GS-25 9, Đường 30/4</t>
        </is>
      </c>
      <c r="F53" s="42" t="n">
        <v>2270422</v>
      </c>
    </row>
    <row r="54">
      <c r="A54" s="39" t="n">
        <v>42</v>
      </c>
      <c r="B54" t="inlineStr">
        <is>
          <t>Não Thị Anh Đào</t>
        </is>
      </c>
      <c r="C54" s="40" t="inlineStr">
        <is>
          <t>GS25</t>
        </is>
      </c>
      <c r="D54" s="41" t="inlineStr">
        <is>
          <t>CVS_GS25.75.6859</t>
        </is>
      </c>
      <c r="E54" s="41" t="inlineStr">
        <is>
          <t>Siêu thị GS-25 Số 11/3B, đường Huỳnh Văn Nghệ</t>
        </is>
      </c>
      <c r="F54" s="42" t="n">
        <v>2270422</v>
      </c>
    </row>
    <row r="55">
      <c r="A55" s="39" t="n">
        <v>43</v>
      </c>
      <c r="B55" t="inlineStr">
        <is>
          <t>Não Thị Anh Đào</t>
        </is>
      </c>
      <c r="C55" s="40" t="inlineStr">
        <is>
          <t>GS25</t>
        </is>
      </c>
      <c r="D55" s="41" t="inlineStr">
        <is>
          <t>CVS_GS25.75.6917</t>
        </is>
      </c>
      <c r="E55" s="41" t="inlineStr">
        <is>
          <t>Siêu thị GS-25 Số 16-A18, Khu dân cư An Bình</t>
        </is>
      </c>
      <c r="F55" s="42" t="n">
        <v>2270422</v>
      </c>
    </row>
    <row r="56">
      <c r="A56" s="39" t="n">
        <v>44</v>
      </c>
      <c r="B56" t="inlineStr">
        <is>
          <t>Não Thị Anh Đào</t>
        </is>
      </c>
      <c r="C56" s="40" t="inlineStr">
        <is>
          <t>GS25</t>
        </is>
      </c>
      <c r="D56" s="41" t="inlineStr">
        <is>
          <t>CVS_GS25.79.6592</t>
        </is>
      </c>
      <c r="E56" s="41" t="inlineStr">
        <is>
          <t>Siêu thị GS-25 Số 27, Nguyễn Du</t>
        </is>
      </c>
      <c r="F56" s="42" t="n">
        <v>2270422</v>
      </c>
    </row>
    <row r="57">
      <c r="A57" s="39" t="n">
        <v>45</v>
      </c>
      <c r="B57" t="inlineStr">
        <is>
          <t>Não Thị Anh Đào</t>
        </is>
      </c>
      <c r="C57" s="40" t="inlineStr">
        <is>
          <t>GS25</t>
        </is>
      </c>
      <c r="D57" s="41" t="inlineStr">
        <is>
          <t>CVS_GS25.75.6915</t>
        </is>
      </c>
      <c r="E57" s="41" t="inlineStr">
        <is>
          <t>Siêu thị GS-25 Số 4B,</t>
        </is>
      </c>
      <c r="F57" s="42" t="n">
        <v>2270422</v>
      </c>
    </row>
    <row r="58">
      <c r="A58" s="39" t="n">
        <v>46</v>
      </c>
      <c r="B58" t="inlineStr">
        <is>
          <t>Não Thị Anh Đào</t>
        </is>
      </c>
      <c r="C58" s="40" t="inlineStr">
        <is>
          <t>GS25</t>
        </is>
      </c>
      <c r="D58" s="41" t="inlineStr">
        <is>
          <t>CVS_GS25.75.6916</t>
        </is>
      </c>
      <c r="E58" s="41" t="inlineStr">
        <is>
          <t>Siêu thị GS-25 Số D4, Tổ 16</t>
        </is>
      </c>
      <c r="F58" s="42" t="n">
        <v>2270422</v>
      </c>
    </row>
    <row r="59">
      <c r="A59" s="39" t="n">
        <v>47</v>
      </c>
      <c r="B59" t="inlineStr">
        <is>
          <t>Não Thị Anh Đào</t>
        </is>
      </c>
      <c r="C59" s="40" t="inlineStr">
        <is>
          <t>GS25</t>
        </is>
      </c>
      <c r="D59" s="41" t="inlineStr">
        <is>
          <t>CVS_GS25.75.6697</t>
        </is>
      </c>
      <c r="E59" s="41" t="inlineStr">
        <is>
          <t>Tầng 1 và 2, 916 Phạm Văn Thuận, Phường Tân Mai, Thành phố Biên Hòa, Tỉnh Đồng Nai</t>
        </is>
      </c>
      <c r="F59" s="42" t="n">
        <v>2270422</v>
      </c>
    </row>
    <row r="60">
      <c r="A60" s="39" t="n">
        <v>48</v>
      </c>
      <c r="B60" t="inlineStr">
        <is>
          <t>Não Thị Anh Đào</t>
        </is>
      </c>
      <c r="C60" s="40" t="inlineStr">
        <is>
          <t>GS25</t>
        </is>
      </c>
      <c r="D60" s="41" t="inlineStr">
        <is>
          <t>CVS_GS25.79.6996</t>
        </is>
      </c>
      <c r="E60" s="41" t="inlineStr">
        <is>
          <t>Toàn bộ căn hộ số 01-04 (Mã căn hộ A2.01.05), Block A2, Tầng 1, Dự án Khu thương mại - Dịch vụ - văn phòng - Căn hộ Bcons, số 38 đường Thống Nhất, khu phố Tân Hòa, Phường Đông Hòa, Thành phố Hồ Chí Minh</t>
        </is>
      </c>
      <c r="F60" s="42" t="n">
        <v>2270422</v>
      </c>
    </row>
    <row r="61">
      <c r="A61" s="39" t="n">
        <v>49</v>
      </c>
      <c r="B61" t="inlineStr">
        <is>
          <t>Não Thị Anh Đào</t>
        </is>
      </c>
      <c r="C61" s="46" t="inlineStr">
        <is>
          <t>7-Eleven</t>
        </is>
      </c>
      <c r="D61" s="41" t="inlineStr">
        <is>
          <t>CVS_7ELEVEN.79.2106</t>
        </is>
      </c>
      <c r="E61" s="41" t="inlineStr">
        <is>
          <t>B1.01.02, Block B1, KCH - TMDV cao tầng (Opal Boulevard), số 10 Kha Vạn Cân, Phường An Bình, Thành phố Dĩ An, Tỉnh Bình Dương</t>
        </is>
      </c>
      <c r="F61" s="42" t="n">
        <v>1710740</v>
      </c>
    </row>
    <row r="62">
      <c r="A62" s="39" t="n">
        <v>50</v>
      </c>
      <c r="B62" t="inlineStr">
        <is>
          <t>Não Thị Anh Đào</t>
        </is>
      </c>
      <c r="C62" s="46" t="inlineStr">
        <is>
          <t>7-Eleven</t>
        </is>
      </c>
      <c r="D62" s="41" t="inlineStr">
        <is>
          <t>CVS_7ELEVEN.79.2087</t>
        </is>
      </c>
      <c r="E62" s="41" t="inlineStr">
        <is>
          <t>Đường Thống Nhất, Phường Đông Hoà, TP Hồ Chí Minh</t>
        </is>
      </c>
      <c r="F62" s="42" t="n">
        <v>1710740</v>
      </c>
    </row>
    <row r="63">
      <c r="A63" s="39" t="n">
        <v>51</v>
      </c>
      <c r="B63" t="inlineStr">
        <is>
          <t>Não Thị Anh Đào</t>
        </is>
      </c>
      <c r="C63" s="46" t="inlineStr">
        <is>
          <t>7-Eleven</t>
        </is>
      </c>
      <c r="D63" s="41" t="inlineStr">
        <is>
          <t>CVS_7ELEVEN.79.2105</t>
        </is>
      </c>
      <c r="E63" s="41" t="inlineStr">
        <is>
          <t>R01.20, tòa Ruby Charm City, 115 đường ĐT 743C</t>
        </is>
      </c>
      <c r="F63" s="42" t="n">
        <v>1710740</v>
      </c>
    </row>
    <row r="64"/>
    <row r="65">
      <c r="A65" s="36" t="inlineStr">
        <is>
          <t>👤 Nguyễn Đức Hoà (48 cửa hàng CVS)</t>
        </is>
      </c>
      <c r="E65" s="37" t="inlineStr">
        <is>
          <t>TỔNG CVS:</t>
        </is>
      </c>
      <c r="F65" s="38" t="n">
        <v>114438802</v>
      </c>
    </row>
    <row r="66">
      <c r="A66" s="39" t="n">
        <v>52</v>
      </c>
      <c r="B66" t="inlineStr">
        <is>
          <t>Nguyễn Đức Hoà</t>
        </is>
      </c>
      <c r="C66" s="44" t="inlineStr">
        <is>
          <t>Circle K</t>
        </is>
      </c>
      <c r="D66" s="41" t="inlineStr">
        <is>
          <t>CVS_CIRCLEK.79.4100</t>
        </is>
      </c>
      <c r="E66" s="41" t="inlineStr">
        <is>
          <t>Ô 8, DC35, Giao Lộ đường D1 và đường D33, P.An Phú, TP.Hồ Chí Minh</t>
        </is>
      </c>
      <c r="F66" s="42" t="n">
        <v>0</v>
      </c>
    </row>
    <row r="67">
      <c r="A67" s="39" t="n">
        <v>53</v>
      </c>
      <c r="B67" t="inlineStr">
        <is>
          <t>Nguyễn Đức Hoà</t>
        </is>
      </c>
      <c r="C67" s="44" t="inlineStr">
        <is>
          <t>Circle K</t>
        </is>
      </c>
      <c r="D67" s="41" t="inlineStr">
        <is>
          <t>CVS_CIRCLEK.79.4098</t>
        </is>
      </c>
      <c r="E67" s="41" t="inlineStr">
        <is>
          <t>Số 174, Trần Văn Ơn, P.Phú Lợi, TP.Hồ Chí Minh</t>
        </is>
      </c>
      <c r="F67" s="42" t="n">
        <v>2990541</v>
      </c>
    </row>
    <row r="68">
      <c r="A68" s="39" t="n">
        <v>54</v>
      </c>
      <c r="B68" t="inlineStr">
        <is>
          <t>Nguyễn Đức Hoà</t>
        </is>
      </c>
      <c r="C68" s="44" t="inlineStr">
        <is>
          <t>Circle K</t>
        </is>
      </c>
      <c r="D68" s="41" t="inlineStr">
        <is>
          <t>CVS_CIRCLEK.79.4099</t>
        </is>
      </c>
      <c r="E68" s="41" t="inlineStr">
        <is>
          <t>Số 508, Cách Mạng Tháng Tám, P.Thủ Dầu Một, TP.Hồ Chí Minh</t>
        </is>
      </c>
      <c r="F68" s="42" t="n">
        <v>3334341</v>
      </c>
    </row>
    <row r="69">
      <c r="A69" s="39" t="n">
        <v>55</v>
      </c>
      <c r="B69" t="inlineStr">
        <is>
          <t>Nguyễn Đức Hoà</t>
        </is>
      </c>
      <c r="C69" s="43" t="inlineStr">
        <is>
          <t>FamilyMart</t>
        </is>
      </c>
      <c r="D69" s="41" t="inlineStr">
        <is>
          <t>CVS_FAMILYMART.79.2567</t>
        </is>
      </c>
      <c r="E69" s="41" t="inlineStr">
        <is>
          <t>102 Tầng 1+2 Tòa nhà Phú Hòa,, Số 117, Đ.D1, Khu 7, , P.Phú Lợi, Hồ Chí Minh</t>
        </is>
      </c>
      <c r="F69" s="42" t="n">
        <v>2679150</v>
      </c>
    </row>
    <row r="70">
      <c r="A70" s="39" t="n">
        <v>56</v>
      </c>
      <c r="B70" t="inlineStr">
        <is>
          <t>Nguyễn Đức Hoà</t>
        </is>
      </c>
      <c r="C70" s="43" t="inlineStr">
        <is>
          <t>FamilyMart</t>
        </is>
      </c>
      <c r="D70" s="41" t="inlineStr">
        <is>
          <t>CVS_FAMILYMART.79.2564</t>
        </is>
      </c>
      <c r="E70" s="41" t="inlineStr">
        <is>
          <t>111, Hoàng Văn Thụ, , P.Thủ Dầu Một, Hồ Chí Minh</t>
        </is>
      </c>
      <c r="F70" s="42" t="n">
        <v>855750</v>
      </c>
    </row>
    <row r="71">
      <c r="A71" s="39" t="n">
        <v>57</v>
      </c>
      <c r="B71" t="inlineStr">
        <is>
          <t>Nguyễn Đức Hoà</t>
        </is>
      </c>
      <c r="C71" s="43" t="inlineStr">
        <is>
          <t>FamilyMart</t>
        </is>
      </c>
      <c r="D71" s="41" t="inlineStr">
        <is>
          <t>CVS_FAMILYMART.79.2562</t>
        </is>
      </c>
      <c r="E71" s="41" t="inlineStr">
        <is>
          <t>126, Hoàng Hoa Thám, , P.Phú Lợi, Hồ Chí Minh</t>
        </is>
      </c>
      <c r="F71" s="42" t="n">
        <v>4786500</v>
      </c>
    </row>
    <row r="72">
      <c r="A72" s="39" t="n">
        <v>58</v>
      </c>
      <c r="B72" t="inlineStr">
        <is>
          <t>Nguyễn Đức Hoà</t>
        </is>
      </c>
      <c r="C72" s="43" t="inlineStr">
        <is>
          <t>FamilyMart</t>
        </is>
      </c>
      <c r="D72" s="41" t="inlineStr">
        <is>
          <t>CVS_FAMILYMART.79.2569</t>
        </is>
      </c>
      <c r="E72" s="41" t="inlineStr">
        <is>
          <t>166, Trần Văn Ơn, , P.Phú Lợi, Hồ Chí Minh</t>
        </is>
      </c>
      <c r="F72" s="42" t="n">
        <v>2925450</v>
      </c>
    </row>
    <row r="73">
      <c r="A73" s="39" t="n">
        <v>59</v>
      </c>
      <c r="B73" t="inlineStr">
        <is>
          <t>Nguyễn Đức Hoà</t>
        </is>
      </c>
      <c r="C73" s="43" t="inlineStr">
        <is>
          <t>FamilyMart</t>
        </is>
      </c>
      <c r="D73" s="41" t="inlineStr">
        <is>
          <t>CVS_FAMILYMART.79.2675</t>
        </is>
      </c>
      <c r="E73" s="41" t="inlineStr">
        <is>
          <t>19, Đường TC3-XC2, , P.Bến Cát, Hồ Chí Minh</t>
        </is>
      </c>
      <c r="F73" s="42" t="n">
        <v>2459250</v>
      </c>
    </row>
    <row r="74">
      <c r="A74" s="39" t="n">
        <v>60</v>
      </c>
      <c r="B74" t="inlineStr">
        <is>
          <t>Nguyễn Đức Hoà</t>
        </is>
      </c>
      <c r="C74" s="43" t="inlineStr">
        <is>
          <t>FamilyMart</t>
        </is>
      </c>
      <c r="D74" s="41" t="inlineStr">
        <is>
          <t>CVS_FAMILYMART.79.2565</t>
        </is>
      </c>
      <c r="E74" s="41" t="inlineStr">
        <is>
          <t>239, Hoàng Văn Thụ, , P.Thủ Dầu Một, Hồ Chí Minh</t>
        </is>
      </c>
      <c r="F74" s="42" t="n">
        <v>3793500</v>
      </c>
    </row>
    <row r="75">
      <c r="A75" s="39" t="n">
        <v>61</v>
      </c>
      <c r="B75" t="inlineStr">
        <is>
          <t>Nguyễn Đức Hoà</t>
        </is>
      </c>
      <c r="C75" s="43" t="inlineStr">
        <is>
          <t>FamilyMart</t>
        </is>
      </c>
      <c r="D75" s="41" t="inlineStr">
        <is>
          <t>CVS_FAMILYMART.79.2504</t>
        </is>
      </c>
      <c r="E75" s="41" t="inlineStr">
        <is>
          <t>26/13, 1, KP Hòa Long, , P.Bình Hòa, Hồ Chí Minh</t>
        </is>
      </c>
      <c r="F75" s="42" t="n">
        <v>1248600</v>
      </c>
    </row>
    <row r="76">
      <c r="A76" s="39" t="n">
        <v>62</v>
      </c>
      <c r="B76" t="inlineStr">
        <is>
          <t>Nguyễn Đức Hoà</t>
        </is>
      </c>
      <c r="C76" s="43" t="inlineStr">
        <is>
          <t>FamilyMart</t>
        </is>
      </c>
      <c r="D76" s="41" t="inlineStr">
        <is>
          <t>LK300113X3</t>
        </is>
      </c>
      <c r="E76" s="41" t="inlineStr">
        <is>
          <t>29-33, Trần Hưng Đạo, , P.Thủ Dầu Một, Hồ Chí Minh</t>
        </is>
      </c>
      <c r="F76" s="42" t="n">
        <v>1423050</v>
      </c>
    </row>
    <row r="77">
      <c r="A77" s="39" t="n">
        <v>63</v>
      </c>
      <c r="B77" t="inlineStr">
        <is>
          <t>Nguyễn Đức Hoà</t>
        </is>
      </c>
      <c r="C77" s="43" t="inlineStr">
        <is>
          <t>FamilyMart</t>
        </is>
      </c>
      <c r="D77" s="41" t="inlineStr">
        <is>
          <t>CVS_FAMILYMART.79.2505</t>
        </is>
      </c>
      <c r="E77" s="41" t="inlineStr">
        <is>
          <t>30/3, Nguyễn Văn Tiết, , P.Lái Thiêu, Hồ Chí Minh</t>
        </is>
      </c>
      <c r="F77" s="42" t="n">
        <v>825600</v>
      </c>
    </row>
    <row r="78">
      <c r="A78" s="39" t="n">
        <v>64</v>
      </c>
      <c r="B78" t="inlineStr">
        <is>
          <t>Nguyễn Đức Hoà</t>
        </is>
      </c>
      <c r="C78" s="43" t="inlineStr">
        <is>
          <t>FamilyMart</t>
        </is>
      </c>
      <c r="D78" s="41" t="inlineStr">
        <is>
          <t>CVS_FAMILYMART.79.2563</t>
        </is>
      </c>
      <c r="E78" s="41" t="inlineStr">
        <is>
          <t>7, Phú Lợi, , P.Phú Lợi, Hồ Chí Minh</t>
        </is>
      </c>
      <c r="F78" s="42" t="n">
        <v>1681350</v>
      </c>
    </row>
    <row r="79">
      <c r="A79" s="39" t="n">
        <v>65</v>
      </c>
      <c r="B79" t="inlineStr">
        <is>
          <t>Nguyễn Đức Hoà</t>
        </is>
      </c>
      <c r="C79" s="43" t="inlineStr">
        <is>
          <t>FamilyMart</t>
        </is>
      </c>
      <c r="D79" s="41" t="inlineStr">
        <is>
          <t>CVS_FAMILYMART.79.2561</t>
        </is>
      </c>
      <c r="E79" s="41" t="inlineStr">
        <is>
          <t>B2,, Đường Hùng Vương, , P.Bình Dương, Hồ Chí Minh</t>
        </is>
      </c>
      <c r="F79" s="42" t="n">
        <v>1363800</v>
      </c>
    </row>
    <row r="80">
      <c r="A80" s="39" t="n">
        <v>66</v>
      </c>
      <c r="B80" t="inlineStr">
        <is>
          <t>Nguyễn Đức Hoà</t>
        </is>
      </c>
      <c r="C80" s="43" t="inlineStr">
        <is>
          <t>FamilyMart</t>
        </is>
      </c>
      <c r="D80" s="41" t="inlineStr">
        <is>
          <t>CVS_FAMILYMART.79.2506</t>
        </is>
      </c>
      <c r="E80" s="41" t="inlineStr">
        <is>
          <t>G05, Tầng trệt, Block CT2, ĐL Bình Dương, KP Hưng Lộc, , P.Thuận An, Hồ Chí Minh</t>
        </is>
      </c>
      <c r="F80" s="42" t="n">
        <v>2112750</v>
      </c>
    </row>
    <row r="81">
      <c r="A81" s="39" t="n">
        <v>67</v>
      </c>
      <c r="B81" t="inlineStr">
        <is>
          <t>Nguyễn Đức Hoà</t>
        </is>
      </c>
      <c r="C81" s="43" t="inlineStr">
        <is>
          <t>FamilyMart</t>
        </is>
      </c>
      <c r="D81" s="41" t="inlineStr">
        <is>
          <t>CVS_FAMILYMART.79.2560</t>
        </is>
      </c>
      <c r="E81" s="41" t="inlineStr">
        <is>
          <t>Khu đô thị vườn Tokyu BD, Lô H8,, Đường Tạo Lực 5, H. Phú, , P.Bình Dương, Hồ Chí Minh</t>
        </is>
      </c>
      <c r="F81" s="42" t="n">
        <v>2163150</v>
      </c>
    </row>
    <row r="82">
      <c r="A82" s="39" t="n">
        <v>68</v>
      </c>
      <c r="B82" t="inlineStr">
        <is>
          <t>Nguyễn Đức Hoà</t>
        </is>
      </c>
      <c r="C82" s="43" t="inlineStr">
        <is>
          <t>FamilyMart</t>
        </is>
      </c>
      <c r="D82" s="41" t="inlineStr">
        <is>
          <t>CVS_FAMILYMART.79.2558</t>
        </is>
      </c>
      <c r="E82" s="41" t="inlineStr">
        <is>
          <t>L6 A11, A12, A16, Lý Thái Tổ, , P.Bình Dương, Hồ Chí Minh</t>
        </is>
      </c>
      <c r="F82" s="42" t="n">
        <v>2432100</v>
      </c>
    </row>
    <row r="83">
      <c r="A83" s="39" t="n">
        <v>69</v>
      </c>
      <c r="B83" t="inlineStr">
        <is>
          <t>Nguyễn Đức Hoà</t>
        </is>
      </c>
      <c r="C83" s="43" t="inlineStr">
        <is>
          <t>FamilyMart</t>
        </is>
      </c>
      <c r="D83" s="41" t="inlineStr">
        <is>
          <t>CVS_FAMILYMART.79.2556</t>
        </is>
      </c>
      <c r="E83" s="41" t="inlineStr">
        <is>
          <t>Lô C18, Đại lộ Hùng Vương, , P.Bình Dương, Hồ Chí Minh</t>
        </is>
      </c>
      <c r="F83" s="42" t="n">
        <v>8824300</v>
      </c>
    </row>
    <row r="84">
      <c r="A84" s="39" t="n">
        <v>70</v>
      </c>
      <c r="B84" t="inlineStr">
        <is>
          <t>Nguyễn Đức Hoà</t>
        </is>
      </c>
      <c r="C84" s="43" t="inlineStr">
        <is>
          <t>FamilyMart</t>
        </is>
      </c>
      <c r="D84" s="41" t="inlineStr">
        <is>
          <t>CVS_FAMILYMART.79.2553</t>
        </is>
      </c>
      <c r="E84" s="41" t="inlineStr">
        <is>
          <t>Ô 1 và ô 2, lô DC37, Khu dân cư Vietsing, , P.An Phú, Hồ Chí Minh</t>
        </is>
      </c>
      <c r="F84" s="42" t="n">
        <v>3770850</v>
      </c>
    </row>
    <row r="85">
      <c r="A85" s="39" t="n">
        <v>71</v>
      </c>
      <c r="B85" t="inlineStr">
        <is>
          <t>Nguyễn Đức Hoà</t>
        </is>
      </c>
      <c r="C85" s="43" t="inlineStr">
        <is>
          <t>FamilyMart</t>
        </is>
      </c>
      <c r="D85" s="41" t="inlineStr">
        <is>
          <t>CVS_FAMILYMART.79.2568</t>
        </is>
      </c>
      <c r="E85" s="41" t="inlineStr">
        <is>
          <t>Ô 18 Khu Đô Thị Becamex, 30/04, , P.Phú Lợi, Hồ Chí Minh</t>
        </is>
      </c>
      <c r="F85" s="42" t="n">
        <v>1691700</v>
      </c>
    </row>
    <row r="86">
      <c r="A86" s="39" t="n">
        <v>72</v>
      </c>
      <c r="B86" t="inlineStr">
        <is>
          <t>Nguyễn Đức Hoà</t>
        </is>
      </c>
      <c r="C86" s="43" t="inlineStr">
        <is>
          <t>FamilyMart</t>
        </is>
      </c>
      <c r="D86" s="41" t="inlineStr">
        <is>
          <t>CVS_FAMILYMART.79.2570</t>
        </is>
      </c>
      <c r="E86" s="41" t="inlineStr">
        <is>
          <t>Ô R4, JF1A Khu đô thị mới, , P.Bình Dương, Hồ Chí Minh</t>
        </is>
      </c>
      <c r="F86" s="42" t="n">
        <v>2768850</v>
      </c>
    </row>
    <row r="87">
      <c r="A87" s="39" t="n">
        <v>73</v>
      </c>
      <c r="B87" t="inlineStr">
        <is>
          <t>Nguyễn Đức Hoà</t>
        </is>
      </c>
      <c r="C87" s="43" t="inlineStr">
        <is>
          <t>FamilyMart</t>
        </is>
      </c>
      <c r="D87" s="41" t="inlineStr">
        <is>
          <t>CVS_FAMILYMART.79.2566</t>
        </is>
      </c>
      <c r="E87" s="41" t="inlineStr">
        <is>
          <t>Số 203, Lê Hồng Phong, KP8,, , P.Phú Lợi, Hồ Chí Minh</t>
        </is>
      </c>
      <c r="F87" s="42" t="n">
        <v>1297050</v>
      </c>
    </row>
    <row r="88">
      <c r="A88" s="39" t="n">
        <v>74</v>
      </c>
      <c r="B88" t="inlineStr">
        <is>
          <t>Nguyễn Đức Hoà</t>
        </is>
      </c>
      <c r="C88" s="43" t="inlineStr">
        <is>
          <t>FamilyMart</t>
        </is>
      </c>
      <c r="D88" s="41" t="inlineStr">
        <is>
          <t>CVS_FAMILYMART.79.2555</t>
        </is>
      </c>
      <c r="E88" s="41" t="inlineStr">
        <is>
          <t>Số 356,, Đường 30/4,, , P.Thủ Dầu Một, Hồ Chí Minh</t>
        </is>
      </c>
      <c r="F88" s="42" t="n">
        <v>2552100</v>
      </c>
    </row>
    <row r="89">
      <c r="A89" s="39" t="n">
        <v>75</v>
      </c>
      <c r="B89" t="inlineStr">
        <is>
          <t>Nguyễn Đức Hoà</t>
        </is>
      </c>
      <c r="C89" s="43" t="inlineStr">
        <is>
          <t>FamilyMart</t>
        </is>
      </c>
      <c r="D89" s="41" t="inlineStr">
        <is>
          <t>CVS_FAMILYMART.79.2559</t>
        </is>
      </c>
      <c r="E89" s="41" t="inlineStr">
        <is>
          <t>Số 490, ĐL Bình Dương, , P.Phú Lợi, Hồ Chí Minh</t>
        </is>
      </c>
      <c r="F89" s="42" t="n">
        <v>919950</v>
      </c>
    </row>
    <row r="90">
      <c r="A90" s="39" t="n">
        <v>76</v>
      </c>
      <c r="B90" t="inlineStr">
        <is>
          <t>Nguyễn Đức Hoà</t>
        </is>
      </c>
      <c r="C90" s="43" t="inlineStr">
        <is>
          <t>FamilyMart</t>
        </is>
      </c>
      <c r="D90" s="41" t="inlineStr">
        <is>
          <t>CVS_FAMILYMART.79.2554</t>
        </is>
      </c>
      <c r="E90" s="41" t="inlineStr">
        <is>
          <t>Số 62/2, Đường 745, KP. Thạnh Lợi, , P.Thuận An, Hồ Chí Minh</t>
        </is>
      </c>
      <c r="F90" s="42" t="n">
        <v>981450</v>
      </c>
    </row>
    <row r="91">
      <c r="A91" s="39" t="n">
        <v>77</v>
      </c>
      <c r="B91" t="inlineStr">
        <is>
          <t>Nguyễn Đức Hoà</t>
        </is>
      </c>
      <c r="C91" s="43" t="inlineStr">
        <is>
          <t>FamilyMart</t>
        </is>
      </c>
      <c r="D91" s="41" t="inlineStr">
        <is>
          <t>CVS_FAMILYMART.79.2557</t>
        </is>
      </c>
      <c r="E91" s="41" t="inlineStr">
        <is>
          <t>Tầng trệt, Block D, KDC Hiệp Thành III, Tổ 105, KP.7, , P.Phú Lợi, Hồ Chí Minh</t>
        </is>
      </c>
      <c r="F91" s="42" t="n">
        <v>5727750</v>
      </c>
    </row>
    <row r="92">
      <c r="A92" s="39" t="n">
        <v>78</v>
      </c>
      <c r="B92" t="inlineStr">
        <is>
          <t>Nguyễn Đức Hoà</t>
        </is>
      </c>
      <c r="C92" s="40" t="inlineStr">
        <is>
          <t>GS25</t>
        </is>
      </c>
      <c r="D92" s="41" t="inlineStr">
        <is>
          <t>CVS_GS25.79.6857</t>
        </is>
      </c>
      <c r="E92" s="41" t="inlineStr">
        <is>
          <t>06, Trần Văn Ơn, P,Phú Hòa, TP,Thủ Dầu Một, Bình Dương</t>
        </is>
      </c>
      <c r="F92" s="42" t="n">
        <v>2270422</v>
      </c>
    </row>
    <row r="93">
      <c r="A93" s="39" t="n">
        <v>79</v>
      </c>
      <c r="B93" t="inlineStr">
        <is>
          <t>Nguyễn Đức Hoà</t>
        </is>
      </c>
      <c r="C93" s="40" t="inlineStr">
        <is>
          <t>GS25</t>
        </is>
      </c>
      <c r="D93" s="41" t="inlineStr">
        <is>
          <t>CVS_GS25.79.6616</t>
        </is>
      </c>
      <c r="E93" s="41" t="inlineStr">
        <is>
          <t>1/1A đường 30/4 Phường Phú Hòa, Thủ Dầu Một, Bình Dương</t>
        </is>
      </c>
      <c r="F93" s="42" t="n">
        <v>2270422</v>
      </c>
    </row>
    <row r="94">
      <c r="A94" s="39" t="n">
        <v>80</v>
      </c>
      <c r="B94" t="inlineStr">
        <is>
          <t>Nguyễn Đức Hoà</t>
        </is>
      </c>
      <c r="C94" s="40" t="inlineStr">
        <is>
          <t>GS25</t>
        </is>
      </c>
      <c r="D94" s="41" t="inlineStr">
        <is>
          <t>CVS_GS25.79.6894</t>
        </is>
      </c>
      <c r="E94" s="41" t="inlineStr">
        <is>
          <t>1/291A, tổ 4, khu phố Hòa Lân 2, P,Thuận Giao, TX,Thuận An, Bình Dương</t>
        </is>
      </c>
      <c r="F94" s="42" t="n">
        <v>2270422</v>
      </c>
    </row>
    <row r="95">
      <c r="A95" s="39" t="n">
        <v>81</v>
      </c>
      <c r="B95" t="inlineStr">
        <is>
          <t>Nguyễn Đức Hoà</t>
        </is>
      </c>
      <c r="C95" s="40" t="inlineStr">
        <is>
          <t>GS25</t>
        </is>
      </c>
      <c r="D95" s="41" t="inlineStr">
        <is>
          <t>CVS_GS25.79.6893</t>
        </is>
      </c>
      <c r="E95" s="41" t="inlineStr">
        <is>
          <t>1/DC64/2, Đường D1, P,Thuận Giao, TX,Thuận An, Bình Dương</t>
        </is>
      </c>
      <c r="F95" s="42" t="n">
        <v>2270422</v>
      </c>
    </row>
    <row r="96">
      <c r="A96" s="39" t="n">
        <v>82</v>
      </c>
      <c r="B96" t="inlineStr">
        <is>
          <t>Nguyễn Đức Hoà</t>
        </is>
      </c>
      <c r="C96" s="40" t="inlineStr">
        <is>
          <t>GS25</t>
        </is>
      </c>
      <c r="D96" s="41" t="inlineStr">
        <is>
          <t>CVS_GS25.79.6856</t>
        </is>
      </c>
      <c r="E96" s="41" t="inlineStr">
        <is>
          <t>171, Ngô Gia Tự, P,Chánh Nghĩa, TP,Thủ Dầu Một, Bình Dương</t>
        </is>
      </c>
      <c r="F96" s="42" t="n">
        <v>2270422</v>
      </c>
    </row>
    <row r="97">
      <c r="A97" s="39" t="n">
        <v>83</v>
      </c>
      <c r="B97" t="inlineStr">
        <is>
          <t>Nguyễn Đức Hoà</t>
        </is>
      </c>
      <c r="C97" s="40" t="inlineStr">
        <is>
          <t>GS25</t>
        </is>
      </c>
      <c r="D97" s="41" t="inlineStr">
        <is>
          <t>CVS_GS25.79.6997</t>
        </is>
      </c>
      <c r="E97" s="41" t="inlineStr">
        <is>
          <t>519 Đường Lý Thái Tổ, khu Hòa Phú 2, Bình Dương, Hồ Chí Minh, Việt Nam</t>
        </is>
      </c>
      <c r="F97" s="42" t="n">
        <v>2270422</v>
      </c>
    </row>
    <row r="98">
      <c r="A98" s="39" t="n">
        <v>84</v>
      </c>
      <c r="B98" t="inlineStr">
        <is>
          <t>Nguyễn Đức Hoà</t>
        </is>
      </c>
      <c r="C98" s="40" t="inlineStr">
        <is>
          <t>GS25</t>
        </is>
      </c>
      <c r="D98" s="41" t="inlineStr">
        <is>
          <t>CVS_GS25.79.6595</t>
        </is>
      </c>
      <c r="E98" s="41" t="inlineStr">
        <is>
          <t>C181A, Cách Mạng Tháng Tám, P,Lái Thiêu, TX,Thuận An, Bình Dương</t>
        </is>
      </c>
      <c r="F98" s="42" t="n">
        <v>2270422</v>
      </c>
    </row>
    <row r="99">
      <c r="A99" s="39" t="n">
        <v>85</v>
      </c>
      <c r="B99" t="inlineStr">
        <is>
          <t>Nguyễn Đức Hoà</t>
        </is>
      </c>
      <c r="C99" s="40" t="inlineStr">
        <is>
          <t>GS25</t>
        </is>
      </c>
      <c r="D99" s="41" t="inlineStr">
        <is>
          <t>CVS_GS25.79.6854</t>
        </is>
      </c>
      <c r="E99" s="41" t="inlineStr">
        <is>
          <t>Căn B7-5-1,03, B7-5-1,04, B7-5-1,05, B7-5-1,06 và B7-5-1,07, Lô B7-5, Nhà ở xã hội Becamex, Khu Định Hòa, đường D1, P,Định Hòa, TP,Thủ Dầu Một, Bình Dương</t>
        </is>
      </c>
      <c r="F99" s="42" t="n">
        <v>2270422</v>
      </c>
    </row>
    <row r="100">
      <c r="A100" s="39" t="n">
        <v>86</v>
      </c>
      <c r="B100" t="inlineStr">
        <is>
          <t>Nguyễn Đức Hoà</t>
        </is>
      </c>
      <c r="C100" s="40" t="inlineStr">
        <is>
          <t>GS25</t>
        </is>
      </c>
      <c r="D100" s="41" t="inlineStr">
        <is>
          <t>CVS_GS25.79.6634</t>
        </is>
      </c>
      <c r="E100" s="41" t="inlineStr">
        <is>
          <t>Căn hộ chung cư số A.01.02, Khu căn hộ - Thương mại dịch vụ cao tầng đường Nguyễn Văn Tiết, số 11B đường Nguyễn Văn Tiết, Khu phố Bình Hòa, 2 Phường Lái Thiêu Thành Phố Thuận An, Tỉnh Bình Dương</t>
        </is>
      </c>
      <c r="F100" s="42" t="n">
        <v>2270422</v>
      </c>
    </row>
    <row r="101">
      <c r="A101" s="39" t="n">
        <v>87</v>
      </c>
      <c r="B101" t="inlineStr">
        <is>
          <t>Nguyễn Đức Hoà</t>
        </is>
      </c>
      <c r="C101" s="40" t="inlineStr">
        <is>
          <t>GS25</t>
        </is>
      </c>
      <c r="D101" s="41" t="inlineStr">
        <is>
          <t>CVS_GS25.79.6633</t>
        </is>
      </c>
      <c r="E101" s="41" t="inlineStr">
        <is>
          <t>Căn hộ kết hợp thương mại dịch vụ A0101, Tầng 1, Khối A thuộc Chung cư Thuận Giao, Tổ 3, Khu phố Hoà Lân 2, Phường Thuận Giao, Thành phố Thuận An, Tỉnh Bình Dương</t>
        </is>
      </c>
      <c r="F101" s="42" t="n">
        <v>2270422</v>
      </c>
    </row>
    <row r="102">
      <c r="A102" s="39" t="n">
        <v>88</v>
      </c>
      <c r="B102" t="inlineStr">
        <is>
          <t>Nguyễn Đức Hoà</t>
        </is>
      </c>
      <c r="C102" s="40" t="inlineStr">
        <is>
          <t>GS25</t>
        </is>
      </c>
      <c r="D102" s="41" t="inlineStr">
        <is>
          <t>CVS_GS25.79.6661</t>
        </is>
      </c>
      <c r="E102" s="41" t="inlineStr">
        <is>
          <t>Căn hộ thương mại dịch vụ số A0104, Tầng 1, Khối A, Chung cư Thuận Giao, Tổ 3, khu phố Hòa Lân 2, Phường Thuận Giao, Thành phố Thuận An,Tỉnh Bình Dương</t>
        </is>
      </c>
      <c r="F102" s="42" t="n">
        <v>2270422</v>
      </c>
    </row>
    <row r="103">
      <c r="A103" s="39" t="n">
        <v>89</v>
      </c>
      <c r="B103" t="inlineStr">
        <is>
          <t>Nguyễn Đức Hoà</t>
        </is>
      </c>
      <c r="C103" s="40" t="inlineStr">
        <is>
          <t>GS25</t>
        </is>
      </c>
      <c r="D103" s="41" t="inlineStr">
        <is>
          <t>CVS_GS25.79.6657</t>
        </is>
      </c>
      <c r="E103" s="41" t="inlineStr">
        <is>
          <t>Can ho TMDV so 0102, Chung cu Chanh Nghia Quoc Cuong, Block Sky.B, so 161 duong D8-KDC Chanh Nghia, Phuong Chanh Nghia, Thanh pho Thu Dau Mot, Tinh Binh Duong</t>
        </is>
      </c>
      <c r="F103" s="42" t="n">
        <v>2270422</v>
      </c>
    </row>
    <row r="104">
      <c r="A104" s="39" t="n">
        <v>90</v>
      </c>
      <c r="B104" t="inlineStr">
        <is>
          <t>Nguyễn Đức Hoà</t>
        </is>
      </c>
      <c r="C104" s="40" t="inlineStr">
        <is>
          <t>GS25</t>
        </is>
      </c>
      <c r="D104" s="41" t="inlineStr">
        <is>
          <t>CVS_GS25.79.6656</t>
        </is>
      </c>
      <c r="E104" s="41" t="inlineStr">
        <is>
          <t>D10, KP 6, Phường Thới Hòa, TP Bến Cát, Bình Dương</t>
        </is>
      </c>
      <c r="F104" s="42" t="n">
        <v>2270422</v>
      </c>
    </row>
    <row r="105">
      <c r="A105" s="39" t="n">
        <v>91</v>
      </c>
      <c r="B105" t="inlineStr">
        <is>
          <t>Nguyễn Đức Hoà</t>
        </is>
      </c>
      <c r="C105" s="40" t="inlineStr">
        <is>
          <t>GS25</t>
        </is>
      </c>
      <c r="D105" s="41" t="inlineStr">
        <is>
          <t>CVS_GS25.79.6591</t>
        </is>
      </c>
      <c r="E105" s="41" t="inlineStr">
        <is>
          <t>G01-G02, Tầng trệt, block CT2, thửa đất 351, đại lộ Bình Dương, khu phố Hưng Lộc, dự án First home Bình Dương, phường Hưng Định, thành phố Thuận An, tỉnh Bình Dương</t>
        </is>
      </c>
      <c r="F105" s="42" t="n">
        <v>2270422</v>
      </c>
    </row>
    <row r="106">
      <c r="A106" s="39" t="n">
        <v>92</v>
      </c>
      <c r="B106" t="inlineStr">
        <is>
          <t>Nguyễn Đức Hoà</t>
        </is>
      </c>
      <c r="C106" s="40" t="inlineStr">
        <is>
          <t>GS25</t>
        </is>
      </c>
      <c r="D106" s="41" t="inlineStr">
        <is>
          <t>CVS_GS25.79.6695</t>
        </is>
      </c>
      <c r="E106" s="41" t="inlineStr">
        <is>
          <t>SH.12 và SH.16, Tháp A1, dự án Khu căn hộ Đạt Phước – Rivana, 60/3 Đại lộ Bình Dương, khu phố Tây, Phường Vĩnh Phú, Thành phố Thuận An, Tỉnh Bình Dương</t>
        </is>
      </c>
      <c r="F106" s="42" t="n">
        <v>2270422</v>
      </c>
    </row>
    <row r="107">
      <c r="A107" s="39" t="n">
        <v>93</v>
      </c>
      <c r="B107" t="inlineStr">
        <is>
          <t>Nguyễn Đức Hoà</t>
        </is>
      </c>
      <c r="C107" s="40" t="inlineStr">
        <is>
          <t>GS25</t>
        </is>
      </c>
      <c r="D107" s="41" t="inlineStr">
        <is>
          <t>CVS_GS25.79.6858</t>
        </is>
      </c>
      <c r="E107" s="41" t="inlineStr">
        <is>
          <t>Siêu thị GS-25 789, Nguyễn Chí Thanh</t>
        </is>
      </c>
      <c r="F107" s="42" t="n">
        <v>2270422</v>
      </c>
    </row>
    <row r="108">
      <c r="A108" s="39" t="n">
        <v>94</v>
      </c>
      <c r="B108" t="inlineStr">
        <is>
          <t>Nguyễn Đức Hoà</t>
        </is>
      </c>
      <c r="C108" s="40" t="inlineStr">
        <is>
          <t>GS25</t>
        </is>
      </c>
      <c r="D108" s="41" t="inlineStr">
        <is>
          <t>CVS_GS25.79.6853</t>
        </is>
      </c>
      <c r="E108" s="41" t="inlineStr">
        <is>
          <t>Siêu thị GS-25 Gian hàng G-07, tầng Trệt TTTM Becamex Tower</t>
        </is>
      </c>
      <c r="F108" s="42" t="n">
        <v>2270422</v>
      </c>
    </row>
    <row r="109">
      <c r="A109" s="39" t="n">
        <v>95</v>
      </c>
      <c r="B109" t="inlineStr">
        <is>
          <t>Nguyễn Đức Hoà</t>
        </is>
      </c>
      <c r="C109" s="40" t="inlineStr">
        <is>
          <t>GS25</t>
        </is>
      </c>
      <c r="D109" s="41" t="inlineStr">
        <is>
          <t>CVS_GS25.79.6855</t>
        </is>
      </c>
      <c r="E109" s="41" t="inlineStr">
        <is>
          <t>Số 30A/2, Cách Mạng Tháng 8, P,An Thạnh, TX,Thuận An, Bình Dương</t>
        </is>
      </c>
      <c r="F109" s="42" t="n">
        <v>2270422</v>
      </c>
    </row>
    <row r="110">
      <c r="A110" s="39" t="n">
        <v>96</v>
      </c>
      <c r="B110" t="inlineStr">
        <is>
          <t>Nguyễn Đức Hoà</t>
        </is>
      </c>
      <c r="C110" s="40" t="inlineStr">
        <is>
          <t>GS25</t>
        </is>
      </c>
      <c r="D110" s="41" t="inlineStr">
        <is>
          <t>CVS_GS25.79.6658</t>
        </is>
      </c>
      <c r="E110" s="41" t="inlineStr">
        <is>
          <t>Tang Tret (Mot phan), Tang 2 va Tang 3, 122 Hoang Hoa Tham, Phuong Hiep Thanh, Thanh pho Thu Dau Mot, Tinh Binh Duong</t>
        </is>
      </c>
      <c r="F110" s="42" t="n">
        <v>2270422</v>
      </c>
    </row>
    <row r="111">
      <c r="A111" s="39" t="n">
        <v>97</v>
      </c>
      <c r="B111" t="inlineStr">
        <is>
          <t>Nguyễn Đức Hoà</t>
        </is>
      </c>
      <c r="C111" s="40" t="inlineStr">
        <is>
          <t>GS25</t>
        </is>
      </c>
      <c r="D111" s="41" t="inlineStr">
        <is>
          <t>CVS_GS25.79.6601</t>
        </is>
      </c>
      <c r="E111" s="41" t="inlineStr">
        <is>
          <t>Thửa đất số 5630 – 5631, Tờ bản đồ số 34, Tổ 4.3, Khu phố 3A, Khu dân cư Ấp 2, Phường Thới Hòa, Thị xã Bến Cát, Tỉnh Bình Dương</t>
        </is>
      </c>
      <c r="F111" s="42" t="n">
        <v>2270422</v>
      </c>
    </row>
    <row r="112">
      <c r="A112" s="39" t="n">
        <v>98</v>
      </c>
      <c r="B112" t="inlineStr">
        <is>
          <t>Nguyễn Đức Hoà</t>
        </is>
      </c>
      <c r="C112" s="46" t="inlineStr">
        <is>
          <t>7-Eleven</t>
        </is>
      </c>
      <c r="D112" s="41" t="inlineStr">
        <is>
          <t>CVS_7ELEVEN.79.2164</t>
        </is>
      </c>
      <c r="E112" s="41" t="inlineStr">
        <is>
          <t>Căn TMDV Số 4, , Khu B, Lô C17, Đại lộ Hùng Vương, Chung cư SORA garden II, Phường Bình Dương, TP Hồ Chí Minh</t>
        </is>
      </c>
      <c r="F112" s="42" t="n">
        <v>1710740</v>
      </c>
    </row>
    <row r="113">
      <c r="A113" s="39" t="n">
        <v>99</v>
      </c>
      <c r="B113" t="inlineStr">
        <is>
          <t>Nguyễn Đức Hoà</t>
        </is>
      </c>
      <c r="C113" s="46" t="inlineStr">
        <is>
          <t>7-Eleven</t>
        </is>
      </c>
      <c r="D113" s="41" t="inlineStr">
        <is>
          <t>CVS_7ELEVEN.79.2104</t>
        </is>
      </c>
      <c r="E113" s="41" t="inlineStr">
        <is>
          <t>Tòa A Happy One Central, 113 đường 30/4, Phường Phú Hòa, Thủ Dầu Một, Bình Dương</t>
        </is>
      </c>
      <c r="F113" s="42" t="n">
        <v>1710740</v>
      </c>
    </row>
    <row r="114"/>
    <row r="115">
      <c r="A115" s="36" t="inlineStr">
        <is>
          <t>👤 Nguyễn Thị Thanh Thủy (39 cửa hàng CVS)</t>
        </is>
      </c>
      <c r="E115" s="37" t="inlineStr">
        <is>
          <t>TỔNG CVS:</t>
        </is>
      </c>
      <c r="F115" s="38" t="n">
        <v>88421641</v>
      </c>
    </row>
    <row r="116">
      <c r="A116" s="39" t="n">
        <v>100</v>
      </c>
      <c r="B116" t="inlineStr">
        <is>
          <t>Nguyễn Thị Thanh Thủy</t>
        </is>
      </c>
      <c r="C116" s="44" t="inlineStr">
        <is>
          <t>Circle K</t>
        </is>
      </c>
      <c r="D116" s="41" t="inlineStr">
        <is>
          <t>CVS_CIRCLEK.79.4253</t>
        </is>
      </c>
      <c r="E116" s="41" t="inlineStr">
        <is>
          <t>1, Thùy Vân, P.Vũng Tàu, TP.Hồ Chí Minh</t>
        </is>
      </c>
      <c r="F116" s="42" t="n">
        <v>4276497</v>
      </c>
    </row>
    <row r="117">
      <c r="A117" s="39" t="n">
        <v>101</v>
      </c>
      <c r="B117" t="inlineStr">
        <is>
          <t>Nguyễn Thị Thanh Thủy</t>
        </is>
      </c>
      <c r="C117" s="44" t="inlineStr">
        <is>
          <t>Circle K</t>
        </is>
      </c>
      <c r="D117" s="41" t="inlineStr">
        <is>
          <t>CVS_CIRCLEK.79.4263</t>
        </is>
      </c>
      <c r="E117" s="41" t="inlineStr">
        <is>
          <t>1001, Bình Giã, P.Rạch Dừa, TP.Hồ Chí Minh</t>
        </is>
      </c>
      <c r="F117" s="42" t="n">
        <v>2316141</v>
      </c>
    </row>
    <row r="118">
      <c r="A118" s="39" t="n">
        <v>102</v>
      </c>
      <c r="B118" t="inlineStr">
        <is>
          <t>Nguyễn Thị Thanh Thủy</t>
        </is>
      </c>
      <c r="C118" s="44" t="inlineStr">
        <is>
          <t>Circle K</t>
        </is>
      </c>
      <c r="D118" s="41" t="inlineStr">
        <is>
          <t>CVS_CIRCLEK.79.4261</t>
        </is>
      </c>
      <c r="E118" s="41" t="inlineStr">
        <is>
          <t>103, Thùy Vân, P.Vũng Tàu, TP.Hồ Chí Minh</t>
        </is>
      </c>
      <c r="F118" s="42" t="n">
        <v>2823069</v>
      </c>
    </row>
    <row r="119">
      <c r="A119" s="39" t="n">
        <v>103</v>
      </c>
      <c r="B119" t="inlineStr">
        <is>
          <t>Nguyễn Thị Thanh Thủy</t>
        </is>
      </c>
      <c r="C119" s="44" t="inlineStr">
        <is>
          <t>Circle K</t>
        </is>
      </c>
      <c r="D119" s="41" t="inlineStr">
        <is>
          <t>CVS_CIRCLEK.79.4260</t>
        </is>
      </c>
      <c r="E119" s="41" t="inlineStr">
        <is>
          <t>117/21, Thùy Vân, P.Vũng Tàu, TP.Hồ Chí Minh</t>
        </is>
      </c>
      <c r="F119" s="42" t="n">
        <v>2985957</v>
      </c>
    </row>
    <row r="120">
      <c r="A120" s="39" t="n">
        <v>103</v>
      </c>
      <c r="E120" s="41" t="inlineStr">
        <is>
          <t>117/21, Thùy Vân, P.Vũng Tàu, TP.Hồ Chí Minh</t>
        </is>
      </c>
      <c r="F120" s="42" t="n">
        <v>2985957</v>
      </c>
    </row>
    <row r="121">
      <c r="A121" s="39" t="n">
        <v>104</v>
      </c>
      <c r="B121" t="inlineStr">
        <is>
          <t>Nguyễn Thị Thanh Thủy</t>
        </is>
      </c>
      <c r="C121" s="44" t="inlineStr">
        <is>
          <t>Circle K</t>
        </is>
      </c>
      <c r="D121" s="41" t="inlineStr">
        <is>
          <t>CVS_CIRCLEK.79.4267</t>
        </is>
      </c>
      <c r="E121" s="41" t="inlineStr">
        <is>
          <t>126A1, Hoàng Hoa Thám, P.Vũng Tàu, TP.Hồ Chí Minh</t>
        </is>
      </c>
      <c r="F121" s="42" t="n">
        <v>3497997</v>
      </c>
    </row>
    <row r="122">
      <c r="A122" s="39" t="n">
        <v>105</v>
      </c>
      <c r="B122" t="inlineStr">
        <is>
          <t>Nguyễn Thị Thanh Thủy</t>
        </is>
      </c>
      <c r="C122" s="44" t="inlineStr">
        <is>
          <t>Circle K</t>
        </is>
      </c>
      <c r="D122" s="41" t="inlineStr">
        <is>
          <t>CVS_CIRCLEK.79.4252</t>
        </is>
      </c>
      <c r="E122" s="41" t="inlineStr">
        <is>
          <t>15, La Văn Cầu, P.Vũng Tàu, TP.Hồ Chí Minh</t>
        </is>
      </c>
      <c r="F122" s="42" t="n">
        <v>2367117</v>
      </c>
    </row>
    <row r="123">
      <c r="A123" s="39" t="n">
        <v>106</v>
      </c>
      <c r="B123" t="inlineStr">
        <is>
          <t>Nguyễn Thị Thanh Thủy</t>
        </is>
      </c>
      <c r="C123" s="44" t="inlineStr">
        <is>
          <t>Circle K</t>
        </is>
      </c>
      <c r="D123" s="41" t="inlineStr">
        <is>
          <t>CVS_CIRCLEK.79.4262</t>
        </is>
      </c>
      <c r="E123" s="41" t="inlineStr">
        <is>
          <t>152, Hoàng Hoa Thám, P.Vũng Tàu, TP.Hồ Chí Minh</t>
        </is>
      </c>
      <c r="F123" s="42" t="n">
        <v>2726157</v>
      </c>
    </row>
    <row r="124">
      <c r="A124" s="39" t="n">
        <v>107</v>
      </c>
      <c r="B124" t="inlineStr">
        <is>
          <t>Nguyễn Thị Thanh Thủy</t>
        </is>
      </c>
      <c r="C124" s="44" t="inlineStr">
        <is>
          <t>Circle K</t>
        </is>
      </c>
      <c r="D124" s="41" t="inlineStr">
        <is>
          <t>CVS_CIRCLEK.79.4265</t>
        </is>
      </c>
      <c r="E124" s="41" t="inlineStr">
        <is>
          <t>18, Nguyễn Trường Tộ, P.Vũng Tàu, TP.Hồ Chí Minh</t>
        </is>
      </c>
      <c r="F124" s="42" t="n">
        <v>0</v>
      </c>
    </row>
    <row r="125">
      <c r="A125" s="39" t="n">
        <v>108</v>
      </c>
      <c r="B125" t="inlineStr">
        <is>
          <t>Nguyễn Thị Thanh Thủy</t>
        </is>
      </c>
      <c r="C125" s="44" t="inlineStr">
        <is>
          <t>Circle K</t>
        </is>
      </c>
      <c r="D125" s="41" t="inlineStr">
        <is>
          <t>CVS_CIRCLEK.79.4268</t>
        </is>
      </c>
      <c r="E125" s="41" t="inlineStr">
        <is>
          <t>186, Hoàng Hoa Thám, P.Vũng Tàu, TP.Hồ Chí Minh</t>
        </is>
      </c>
      <c r="F125" s="42" t="n">
        <v>2372109</v>
      </c>
    </row>
    <row r="126">
      <c r="A126" s="39" t="n">
        <v>109</v>
      </c>
      <c r="B126" t="inlineStr">
        <is>
          <t>Nguyễn Thị Thanh Thủy</t>
        </is>
      </c>
      <c r="C126" s="44" t="inlineStr">
        <is>
          <t>Circle K</t>
        </is>
      </c>
      <c r="D126" s="41" t="inlineStr">
        <is>
          <t>CVS_CIRCLEK.79.4255</t>
        </is>
      </c>
      <c r="E126" s="41" t="inlineStr">
        <is>
          <t>205, Nam Kỳ Khởi Nghĩa, P.Vũng Tàu, TP.Hồ Chí Minh</t>
        </is>
      </c>
      <c r="F126" s="42" t="n">
        <v>2919501</v>
      </c>
    </row>
    <row r="127">
      <c r="A127" s="39" t="n">
        <v>110</v>
      </c>
      <c r="B127" t="inlineStr">
        <is>
          <t>Nguyễn Thị Thanh Thủy</t>
        </is>
      </c>
      <c r="C127" s="44" t="inlineStr">
        <is>
          <t>Circle K</t>
        </is>
      </c>
      <c r="D127" s="41" t="inlineStr">
        <is>
          <t>CVS_CIRCLEK.79.4254</t>
        </is>
      </c>
      <c r="E127" s="41" t="inlineStr">
        <is>
          <t>26, Phan Văn Trị, P.Vũng Tàu, TP.Hồ Chí Minh</t>
        </is>
      </c>
      <c r="F127" s="42" t="n">
        <v>2066829</v>
      </c>
    </row>
    <row r="128">
      <c r="A128" s="39" t="n">
        <v>111</v>
      </c>
      <c r="B128" t="inlineStr">
        <is>
          <t>Nguyễn Thị Thanh Thủy</t>
        </is>
      </c>
      <c r="C128" s="44" t="inlineStr">
        <is>
          <t>Circle K</t>
        </is>
      </c>
      <c r="D128" s="41" t="inlineStr">
        <is>
          <t>CVS_CIRCLEK.79.4269</t>
        </is>
      </c>
      <c r="E128" s="41" t="inlineStr">
        <is>
          <t>273, Lê Hồng Phong, P.Vũng Tàu, TP.Hồ Chí Minh</t>
        </is>
      </c>
      <c r="F128" s="42" t="n">
        <v>3169317</v>
      </c>
    </row>
    <row r="129">
      <c r="A129" s="39" t="n">
        <v>112</v>
      </c>
      <c r="B129" t="inlineStr">
        <is>
          <t>Nguyễn Thị Thanh Thủy</t>
        </is>
      </c>
      <c r="C129" s="44" t="inlineStr">
        <is>
          <t>Circle K</t>
        </is>
      </c>
      <c r="D129" s="41" t="inlineStr">
        <is>
          <t>CVS_CIRCLEK.79.4258</t>
        </is>
      </c>
      <c r="E129" s="41" t="inlineStr">
        <is>
          <t>4, Lê Lợi, P.Vũng Tàu, TP.Hồ Chí Minh</t>
        </is>
      </c>
      <c r="F129" s="42" t="n">
        <v>0</v>
      </c>
    </row>
    <row r="130">
      <c r="A130" s="39" t="n">
        <v>113</v>
      </c>
      <c r="B130" t="inlineStr">
        <is>
          <t>Nguyễn Thị Thanh Thủy</t>
        </is>
      </c>
      <c r="C130" s="44" t="inlineStr">
        <is>
          <t>Circle K</t>
        </is>
      </c>
      <c r="D130" s="41" t="inlineStr">
        <is>
          <t>CVS_CIRCLEK.79.4259</t>
        </is>
      </c>
      <c r="E130" s="41" t="inlineStr">
        <is>
          <t>43, Thuỳ Vân, P.Vũng Tàu, TP.Hồ Chí Minh</t>
        </is>
      </c>
      <c r="F130" s="42" t="n">
        <v>2367117</v>
      </c>
    </row>
    <row r="131">
      <c r="A131" s="39" t="n">
        <v>114</v>
      </c>
      <c r="B131" t="inlineStr">
        <is>
          <t>Nguyễn Thị Thanh Thủy</t>
        </is>
      </c>
      <c r="C131" s="44" t="inlineStr">
        <is>
          <t>Circle K</t>
        </is>
      </c>
      <c r="D131" s="41" t="inlineStr">
        <is>
          <t>CVS_CIRCLEK.79.4256</t>
        </is>
      </c>
      <c r="E131" s="41" t="inlineStr">
        <is>
          <t>6, Quang Trung, P.Vũng Tàu, TP.Hồ Chí Minh</t>
        </is>
      </c>
      <c r="F131" s="42" t="n">
        <v>3006909</v>
      </c>
    </row>
    <row r="132">
      <c r="A132" s="39" t="n">
        <v>115</v>
      </c>
      <c r="B132" t="inlineStr">
        <is>
          <t>Nguyễn Thị Thanh Thủy</t>
        </is>
      </c>
      <c r="C132" s="44" t="inlineStr">
        <is>
          <t>Circle K</t>
        </is>
      </c>
      <c r="D132" s="41" t="inlineStr">
        <is>
          <t>CVS_CIRCLEK.79.4266</t>
        </is>
      </c>
      <c r="E132" s="41" t="inlineStr">
        <is>
          <t>78, Trần Hưng Đạo, P.Vũng Tàu, TP.Hồ Chí Minh</t>
        </is>
      </c>
      <c r="F132" s="42" t="n">
        <v>0</v>
      </c>
    </row>
    <row r="133">
      <c r="A133" s="39" t="n">
        <v>116</v>
      </c>
      <c r="B133" t="inlineStr">
        <is>
          <t>Nguyễn Thị Thanh Thủy</t>
        </is>
      </c>
      <c r="C133" s="44" t="inlineStr">
        <is>
          <t>Circle K</t>
        </is>
      </c>
      <c r="D133" s="41" t="inlineStr">
        <is>
          <t>CVS_CIRCLEK.79.4257</t>
        </is>
      </c>
      <c r="E133" s="41" t="inlineStr">
        <is>
          <t>Số 12 Khu Nhà DV 15 Tầng, Nguyễn Thái Học, P.Tam Thắng, TP.Hồ Chí Minh</t>
        </is>
      </c>
      <c r="F133" s="42" t="n">
        <v>2066829</v>
      </c>
    </row>
    <row r="134">
      <c r="A134" s="39" t="n">
        <v>117</v>
      </c>
      <c r="B134" t="inlineStr">
        <is>
          <t>Nguyễn Thị Thanh Thủy</t>
        </is>
      </c>
      <c r="C134" s="44" t="inlineStr">
        <is>
          <t>Circle K</t>
        </is>
      </c>
      <c r="D134" s="41" t="inlineStr">
        <is>
          <t>CVS_CIRCLEK.79.4566</t>
        </is>
      </c>
      <c r="E134" s="41" t="inlineStr">
        <is>
          <t>Tầng 1, Chung Cư Kim Ngân, 275 Lê Hồng Phong, Phường Vũng Tàu, Thành phố Hồ Chí Minh, Việt Nam.</t>
        </is>
      </c>
      <c r="F134" s="42" t="n">
        <v>3833709</v>
      </c>
    </row>
    <row r="135">
      <c r="A135" s="39" t="n">
        <v>118</v>
      </c>
      <c r="B135" t="inlineStr">
        <is>
          <t>Nguyễn Thị Thanh Thủy</t>
        </is>
      </c>
      <c r="C135" s="43" t="inlineStr">
        <is>
          <t>FamilyMart</t>
        </is>
      </c>
      <c r="D135" s="41" t="inlineStr">
        <is>
          <t>CVS_FAMILYMART.79.2639</t>
        </is>
      </c>
      <c r="E135" s="41" t="inlineStr">
        <is>
          <t>06, Hoàng Hoa Thám, , P.Vũng Tàu, Hồ Chí Minh</t>
        </is>
      </c>
      <c r="F135" s="42" t="n">
        <v>1930350</v>
      </c>
    </row>
    <row r="136">
      <c r="A136" s="39" t="n">
        <v>119</v>
      </c>
      <c r="B136" t="inlineStr">
        <is>
          <t>Nguyễn Thị Thanh Thủy</t>
        </is>
      </c>
      <c r="C136" s="43" t="inlineStr">
        <is>
          <t>FamilyMart</t>
        </is>
      </c>
      <c r="D136" s="41" t="inlineStr">
        <is>
          <t>CVS_FAMILYMART.79.2636</t>
        </is>
      </c>
      <c r="E136" s="41" t="inlineStr">
        <is>
          <t>148, Hoàng Hoa Thám, , P.Vũng Tàu, Hồ Chí Minh</t>
        </is>
      </c>
      <c r="F136" s="42" t="n">
        <v>2628150</v>
      </c>
    </row>
    <row r="137">
      <c r="A137" s="39" t="n">
        <v>120</v>
      </c>
      <c r="B137" t="inlineStr">
        <is>
          <t>Nguyễn Thị Thanh Thủy</t>
        </is>
      </c>
      <c r="C137" s="43" t="inlineStr">
        <is>
          <t>FamilyMart</t>
        </is>
      </c>
      <c r="D137" s="41" t="inlineStr">
        <is>
          <t>CVS_FAMILYMART.79.2637</t>
        </is>
      </c>
      <c r="E137" s="41" t="inlineStr">
        <is>
          <t>171, Nam Kỳ Khởi Nghĩa, P.6, TP.Vũng Tàu, Bà Rịa Vũng Tàu</t>
        </is>
      </c>
      <c r="F137" s="42" t="n">
        <v>2735700</v>
      </c>
    </row>
    <row r="138">
      <c r="A138" s="39" t="n">
        <v>121</v>
      </c>
      <c r="B138" t="inlineStr">
        <is>
          <t>Nguyễn Thị Thanh Thủy</t>
        </is>
      </c>
      <c r="C138" s="43" t="inlineStr">
        <is>
          <t>FamilyMart</t>
        </is>
      </c>
      <c r="D138" s="41" t="inlineStr">
        <is>
          <t>CVS_FAMILYMART.79.2641</t>
        </is>
      </c>
      <c r="E138" s="41" t="inlineStr">
        <is>
          <t>26D, Lê Hồng Phong, , P.Tam Thắng, Hồ Chí Minh</t>
        </is>
      </c>
      <c r="F138" s="42" t="n">
        <v>3307200</v>
      </c>
    </row>
    <row r="139">
      <c r="A139" s="39" t="n">
        <v>122</v>
      </c>
      <c r="B139" t="inlineStr">
        <is>
          <t>Nguyễn Thị Thanh Thủy</t>
        </is>
      </c>
      <c r="C139" s="43" t="inlineStr">
        <is>
          <t>FamilyMart</t>
        </is>
      </c>
      <c r="D139" s="41" t="inlineStr">
        <is>
          <t>CVS_FAMILYMART.79.2638</t>
        </is>
      </c>
      <c r="E139" s="41" t="inlineStr">
        <is>
          <t>48, Đồ Chiểu, , P.Vũng Tàu, Hồ Chí Minh</t>
        </is>
      </c>
      <c r="F139" s="42" t="n">
        <v>692400</v>
      </c>
    </row>
    <row r="140">
      <c r="A140" s="39" t="n">
        <v>123</v>
      </c>
      <c r="B140" t="inlineStr">
        <is>
          <t>Nguyễn Thị Thanh Thủy</t>
        </is>
      </c>
      <c r="C140" s="43" t="inlineStr">
        <is>
          <t>FamilyMart</t>
        </is>
      </c>
      <c r="D140" s="41" t="inlineStr">
        <is>
          <t>CVS_FAMILYMART.79.2640</t>
        </is>
      </c>
      <c r="E140" s="41" t="inlineStr">
        <is>
          <t>58, Trương Công Định, , P.Vũng Tàu, Hồ Chí Minh</t>
        </is>
      </c>
      <c r="F140" s="42" t="n">
        <v>2907600</v>
      </c>
    </row>
    <row r="141">
      <c r="A141" s="39" t="n">
        <v>124</v>
      </c>
      <c r="B141" t="inlineStr">
        <is>
          <t>Nguyễn Thị Thanh Thủy</t>
        </is>
      </c>
      <c r="C141" s="43" t="inlineStr">
        <is>
          <t>FamilyMart</t>
        </is>
      </c>
      <c r="D141" s="41" t="inlineStr">
        <is>
          <t>CVS_FAMILYMART.79.2635</t>
        </is>
      </c>
      <c r="E141" s="41" t="inlineStr">
        <is>
          <t>Số 816, Trần Phú, , P.Vũng Tàu, Hồ Chí Minh</t>
        </is>
      </c>
      <c r="F141" s="42" t="n">
        <v>1909500</v>
      </c>
    </row>
    <row r="142">
      <c r="A142" s="39" t="n">
        <v>125</v>
      </c>
      <c r="B142" t="inlineStr">
        <is>
          <t>Nguyễn Thị Thanh Thủy</t>
        </is>
      </c>
      <c r="C142" s="40" t="inlineStr">
        <is>
          <t>GS25</t>
        </is>
      </c>
      <c r="D142" s="41" t="inlineStr">
        <is>
          <t>CVS_GS25.79.6654</t>
        </is>
      </c>
      <c r="E142" s="41" t="inlineStr">
        <is>
          <t>12 Trương Công Định, Phường 2, Vũng Tàu</t>
        </is>
      </c>
      <c r="F142" s="42" t="n">
        <v>2270422</v>
      </c>
    </row>
    <row r="143">
      <c r="A143" s="39" t="n">
        <v>126</v>
      </c>
      <c r="B143" t="inlineStr">
        <is>
          <t>Nguyễn Thị Thanh Thủy</t>
        </is>
      </c>
      <c r="C143" s="40" t="inlineStr">
        <is>
          <t>GS25</t>
        </is>
      </c>
      <c r="D143" s="41" t="inlineStr">
        <is>
          <t>CVS_GS25.79.6974</t>
        </is>
      </c>
      <c r="E143" s="41" t="inlineStr">
        <is>
          <t>28 thi sách, vũng tàu</t>
        </is>
      </c>
      <c r="F143" s="42" t="n">
        <v>2270422</v>
      </c>
    </row>
    <row r="144">
      <c r="A144" s="39" t="n">
        <v>127</v>
      </c>
      <c r="B144" t="inlineStr">
        <is>
          <t>Nguyễn Thị Thanh Thủy</t>
        </is>
      </c>
      <c r="C144" s="40" t="inlineStr">
        <is>
          <t>GS25</t>
        </is>
      </c>
      <c r="D144" s="41" t="inlineStr">
        <is>
          <t>CVS_GS25.79.6614</t>
        </is>
      </c>
      <c r="E144" s="41" t="inlineStr">
        <is>
          <t>41 Phó Đức Chính, Phường Thắng Tam, Vũng Tàu</t>
        </is>
      </c>
      <c r="F144" s="42" t="n">
        <v>2270422</v>
      </c>
    </row>
    <row r="145">
      <c r="A145" s="39" t="n">
        <v>128</v>
      </c>
      <c r="B145" t="inlineStr">
        <is>
          <t>Nguyễn Thị Thanh Thủy</t>
        </is>
      </c>
      <c r="C145" s="40" t="inlineStr">
        <is>
          <t>GS25</t>
        </is>
      </c>
      <c r="D145" s="41" t="inlineStr">
        <is>
          <t>CVS_GS25.79.6965</t>
        </is>
      </c>
      <c r="E145" s="41" t="inlineStr">
        <is>
          <t>GS25 Hoàng Hoa Thám - Vũng Tàu</t>
        </is>
      </c>
      <c r="F145" s="42" t="n">
        <v>2270422</v>
      </c>
    </row>
    <row r="146">
      <c r="A146" s="39" t="n">
        <v>129</v>
      </c>
      <c r="B146" t="inlineStr">
        <is>
          <t>Nguyễn Thị Thanh Thủy</t>
        </is>
      </c>
      <c r="C146" s="40" t="inlineStr">
        <is>
          <t>GS25</t>
        </is>
      </c>
      <c r="D146" s="41" t="inlineStr">
        <is>
          <t>CVS_GS25.79.6973</t>
        </is>
      </c>
      <c r="E146" s="41" t="inlineStr">
        <is>
          <t>GS25 Phan Văn Trị - Vũng Tàu</t>
        </is>
      </c>
      <c r="F146" s="42" t="n">
        <v>2270422</v>
      </c>
    </row>
    <row r="147">
      <c r="A147" s="39" t="n">
        <v>130</v>
      </c>
      <c r="B147" t="inlineStr">
        <is>
          <t>Nguyễn Thị Thanh Thủy</t>
        </is>
      </c>
      <c r="C147" s="40" t="inlineStr">
        <is>
          <t>GS25</t>
        </is>
      </c>
      <c r="D147" s="41" t="inlineStr">
        <is>
          <t>CVS_GS25.79.6970</t>
        </is>
      </c>
      <c r="E147" s="41" t="inlineStr">
        <is>
          <t>Siêu thị GS-25 1A, Phó Đức Chính</t>
        </is>
      </c>
      <c r="F147" s="42" t="n">
        <v>2270422</v>
      </c>
    </row>
    <row r="148">
      <c r="A148" s="39" t="n">
        <v>131</v>
      </c>
      <c r="B148" t="inlineStr">
        <is>
          <t>Nguyễn Thị Thanh Thủy</t>
        </is>
      </c>
      <c r="C148" s="40" t="inlineStr">
        <is>
          <t>GS25</t>
        </is>
      </c>
      <c r="D148" s="41" t="inlineStr">
        <is>
          <t>CVS_GS25.79.6972</t>
        </is>
      </c>
      <c r="E148" s="41" t="inlineStr">
        <is>
          <t>Siêu thị GS-25 464, Trương Công Định</t>
        </is>
      </c>
      <c r="F148" s="42" t="n">
        <v>2270422</v>
      </c>
    </row>
    <row r="149">
      <c r="A149" s="39" t="n">
        <v>132</v>
      </c>
      <c r="B149" t="inlineStr">
        <is>
          <t>Nguyễn Thị Thanh Thủy</t>
        </is>
      </c>
      <c r="C149" s="40" t="inlineStr">
        <is>
          <t>GS25</t>
        </is>
      </c>
      <c r="D149" s="41" t="inlineStr">
        <is>
          <t>CVS_GS25.79.6969</t>
        </is>
      </c>
      <c r="E149" s="41" t="inlineStr">
        <is>
          <t>Siêu thị GS-25 87, Thùy Vân</t>
        </is>
      </c>
      <c r="F149" s="42" t="n">
        <v>2270422</v>
      </c>
    </row>
    <row r="150">
      <c r="A150" s="39" t="n">
        <v>133</v>
      </c>
      <c r="B150" t="inlineStr">
        <is>
          <t>Nguyễn Thị Thanh Thủy</t>
        </is>
      </c>
      <c r="C150" s="40" t="inlineStr">
        <is>
          <t>GS25</t>
        </is>
      </c>
      <c r="D150" s="41" t="inlineStr">
        <is>
          <t>CVS_GS25.79.6968</t>
        </is>
      </c>
      <c r="E150" s="41" t="inlineStr">
        <is>
          <t>Siêu thị GS-25 Số 13, Trần Quý Cáp</t>
        </is>
      </c>
      <c r="F150" s="42" t="n">
        <v>2270422</v>
      </c>
    </row>
    <row r="151">
      <c r="A151" s="39" t="n">
        <v>134</v>
      </c>
      <c r="B151" t="inlineStr">
        <is>
          <t>Nguyễn Thị Thanh Thủy</t>
        </is>
      </c>
      <c r="C151" s="40" t="inlineStr">
        <is>
          <t>GS25</t>
        </is>
      </c>
      <c r="D151" s="41" t="inlineStr">
        <is>
          <t>CVS_GS25.79.6967</t>
        </is>
      </c>
      <c r="E151" s="41" t="inlineStr">
        <is>
          <t>Siêu thị GS-25 Số 53, Thùy Vân</t>
        </is>
      </c>
      <c r="F151" s="42" t="n">
        <v>2270422</v>
      </c>
    </row>
    <row r="152">
      <c r="A152" s="39" t="n">
        <v>135</v>
      </c>
      <c r="B152" t="inlineStr">
        <is>
          <t>Nguyễn Thị Thanh Thủy</t>
        </is>
      </c>
      <c r="C152" s="40" t="inlineStr">
        <is>
          <t>GS25</t>
        </is>
      </c>
      <c r="D152" s="41" t="inlineStr">
        <is>
          <t>CVS_GS25.79.6746</t>
        </is>
      </c>
      <c r="E152" s="41" t="inlineStr">
        <is>
          <t>Số 02-04 Đường Võ Thị Sáu, Phường 2, Thành phố Vũng Tàu, Tỉnh Bà Rịa – Vũng Tàu</t>
        </is>
      </c>
      <c r="F152" s="42" t="n">
        <v>2270422</v>
      </c>
    </row>
    <row r="153">
      <c r="A153" s="39" t="n">
        <v>136</v>
      </c>
      <c r="B153" t="inlineStr">
        <is>
          <t>Nguyễn Thị Thanh Thủy</t>
        </is>
      </c>
      <c r="C153" s="40" t="inlineStr">
        <is>
          <t>GS25</t>
        </is>
      </c>
      <c r="D153" s="41" t="inlineStr">
        <is>
          <t>CVS_GS25.79.6764</t>
        </is>
      </c>
      <c r="E153" s="41" t="inlineStr">
        <is>
          <t>Số 51 đường Trưng Nhị (tầng 1 và tầng 2), Phường 1, Thành phố Vũng Tàu, Tỉnh Bà Rịa – Vũng Tàu</t>
        </is>
      </c>
      <c r="F153" s="42" t="n">
        <v>2270422</v>
      </c>
    </row>
    <row r="154">
      <c r="A154" s="39" t="n">
        <v>137</v>
      </c>
      <c r="B154" t="inlineStr">
        <is>
          <t>Nguyễn Thị Thanh Thủy</t>
        </is>
      </c>
      <c r="C154" s="40" t="inlineStr">
        <is>
          <t>GS25</t>
        </is>
      </c>
      <c r="D154" s="41" t="inlineStr">
        <is>
          <t>CVS_GS25.79.6767</t>
        </is>
      </c>
      <c r="E154" s="41" t="inlineStr">
        <is>
          <t>Tầng 1 và tầng lửng căn hộ chung cư số LK-07, chung cư Vũng Tàu Center, Số 93 Lê Lợi, Phường Thắng Nhì, Thành phố Vũng Tàu, Tỉnh Bà Rịa – Vũng Tàu</t>
        </is>
      </c>
      <c r="F154" s="42" t="n">
        <v>2270422</v>
      </c>
    </row>
    <row r="155"/>
    <row r="156">
      <c r="A156" s="36" t="inlineStr">
        <is>
          <t>👤 Phạm Thị Kim Nhung (1 cửa hàng CVS)</t>
        </is>
      </c>
      <c r="E156" s="37" t="inlineStr">
        <is>
          <t>TỔNG CVS:</t>
        </is>
      </c>
      <c r="F156" s="38" t="n">
        <v>11234100</v>
      </c>
    </row>
    <row r="157">
      <c r="A157" s="39" t="n">
        <v>138</v>
      </c>
      <c r="B157" t="inlineStr">
        <is>
          <t>Phạm Thị Kim Nhung</t>
        </is>
      </c>
      <c r="C157" s="48" t="inlineStr">
        <is>
          <t>Hoàng Đức Gia Kiệm</t>
        </is>
      </c>
      <c r="D157" s="41" t="inlineStr">
        <is>
          <t>CVS_THECITY.75.1253</t>
        </is>
      </c>
      <c r="E157" s="41" t="inlineStr">
        <is>
          <t>Số 166 Ấp Bạch Lâm 1, Xã Thống Nhất, Tỉnh Đồng Nai, Việt Nam</t>
        </is>
      </c>
      <c r="F157" s="42" t="n">
        <v>11234100</v>
      </c>
    </row>
    <row r="158"/>
    <row r="159">
      <c r="A159" s="49" t="inlineStr">
        <is>
          <t>🎯 TỔNG CVS TOÀN TEAM</t>
        </is>
      </c>
      <c r="F159" s="50" t="n">
        <v>372666880</v>
      </c>
    </row>
    <row r="160"/>
    <row r="161"/>
    <row r="162"/>
    <row r="163"/>
  </sheetData>
  <mergeCells count="10">
    <mergeCell ref="A159:D159"/>
    <mergeCell ref="A119:D119"/>
    <mergeCell ref="A12:D12"/>
    <mergeCell ref="A4:D4"/>
    <mergeCell ref="A1:F1"/>
    <mergeCell ref="A15:D15"/>
    <mergeCell ref="A29:D29"/>
    <mergeCell ref="A65:D65"/>
    <mergeCell ref="A24:D24"/>
    <mergeCell ref="A162:E16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6" customWidth="1" min="1" max="1"/>
    <col width="22" customWidth="1" min="2" max="2"/>
    <col width="15" customWidth="1" min="3" max="3"/>
    <col width="18" customWidth="1" min="4" max="4"/>
    <col width="20" customWidth="1" min="5" max="5"/>
    <col width="15" customWidth="1" min="6" max="6"/>
  </cols>
  <sheetData>
    <row r="1" ht="28" customHeight="1">
      <c r="A1" s="51" t="inlineStr">
        <is>
          <t>PHÂN BỔ DOANH SỐ BHX (232 CỬA HÀNG)</t>
        </is>
      </c>
    </row>
    <row r="3">
      <c r="A3" s="2" t="inlineStr">
        <is>
          <t>Tổng Thực Hiện BHX:</t>
        </is>
      </c>
      <c r="B3" s="52" t="n">
        <v>4629478466</v>
      </c>
    </row>
    <row r="4">
      <c r="A4" s="2" t="inlineStr">
        <is>
          <t>Tổng số cửa hàng:</t>
        </is>
      </c>
      <c r="B4" s="53" t="n">
        <v>232</v>
      </c>
    </row>
    <row r="5">
      <c r="A5" s="2" t="inlineStr">
        <is>
          <t>TB doanh số/CH:</t>
        </is>
      </c>
      <c r="B5" s="52">
        <f>B3/B4</f>
        <v/>
      </c>
    </row>
    <row r="7" ht="25" customHeight="1">
      <c r="A7" s="54" t="inlineStr">
        <is>
          <t>STT</t>
        </is>
      </c>
      <c r="B7" s="54" t="inlineStr">
        <is>
          <t>Nhân Viên</t>
        </is>
      </c>
      <c r="C7" s="54" t="inlineStr">
        <is>
          <t>Số CH BHX</t>
        </is>
      </c>
      <c r="D7" s="54" t="inlineStr">
        <is>
          <t>TB/CH</t>
        </is>
      </c>
      <c r="E7" s="54" t="inlineStr">
        <is>
          <t>Doanh Số BHX</t>
        </is>
      </c>
      <c r="F7" s="54" t="inlineStr">
        <is>
          <t>% BHX/Team</t>
        </is>
      </c>
    </row>
    <row r="8">
      <c r="A8" s="26" t="n">
        <v>1</v>
      </c>
      <c r="B8" s="18" t="inlineStr">
        <is>
          <t>Bùi Thị Sen</t>
        </is>
      </c>
      <c r="C8" s="26" t="n">
        <v>21</v>
      </c>
      <c r="D8" s="55">
        <f>$B$5</f>
        <v/>
      </c>
      <c r="E8" s="55" t="n">
        <v>419047620</v>
      </c>
      <c r="F8" s="56" t="n">
        <v>0.09051724137931035</v>
      </c>
    </row>
    <row r="9">
      <c r="A9" s="26" t="n">
        <v>2</v>
      </c>
      <c r="B9" s="18" t="inlineStr">
        <is>
          <t>Chắng Lý Quỳnh</t>
        </is>
      </c>
      <c r="C9" s="26" t="n">
        <v>25</v>
      </c>
      <c r="D9" s="55">
        <f>$B$5</f>
        <v/>
      </c>
      <c r="E9" s="55" t="n">
        <v>498866214</v>
      </c>
      <c r="F9" s="56" t="n">
        <v>0.1077586206896552</v>
      </c>
    </row>
    <row r="10">
      <c r="A10" s="26" t="n">
        <v>3</v>
      </c>
      <c r="B10" s="18" t="inlineStr">
        <is>
          <t>Kim Hoàng Khang</t>
        </is>
      </c>
      <c r="C10" s="26" t="n">
        <v>25</v>
      </c>
      <c r="D10" s="55">
        <f>$B$5</f>
        <v/>
      </c>
      <c r="E10" s="55" t="n">
        <v>498866214</v>
      </c>
      <c r="F10" s="56" t="n">
        <v>0.1077586206896552</v>
      </c>
    </row>
    <row r="11">
      <c r="A11" s="26" t="n">
        <v>4</v>
      </c>
      <c r="B11" s="18" t="inlineStr">
        <is>
          <t>Lê Thị Thùy Châu</t>
        </is>
      </c>
      <c r="C11" s="26" t="n">
        <v>21</v>
      </c>
      <c r="D11" s="55">
        <f>$B$5</f>
        <v/>
      </c>
      <c r="E11" s="55" t="n">
        <v>419047620</v>
      </c>
      <c r="F11" s="56" t="n">
        <v>0.09051724137931035</v>
      </c>
    </row>
    <row r="12">
      <c r="A12" s="26" t="n">
        <v>5</v>
      </c>
      <c r="B12" s="18" t="inlineStr">
        <is>
          <t>Lê Trần Bá Kiện</t>
        </is>
      </c>
      <c r="C12" s="26" t="n">
        <v>24</v>
      </c>
      <c r="D12" s="55">
        <f>$B$5</f>
        <v/>
      </c>
      <c r="E12" s="55" t="n">
        <v>478911565</v>
      </c>
      <c r="F12" s="56" t="n">
        <v>0.103448275862069</v>
      </c>
    </row>
    <row r="13">
      <c r="A13" s="26" t="n">
        <v>6</v>
      </c>
      <c r="B13" s="18" t="inlineStr">
        <is>
          <t>Não Thị Anh Đào</t>
        </is>
      </c>
      <c r="C13" s="26" t="n">
        <v>11</v>
      </c>
      <c r="D13" s="55">
        <f>$B$5</f>
        <v/>
      </c>
      <c r="E13" s="55" t="n">
        <v>219501134</v>
      </c>
      <c r="F13" s="56" t="n">
        <v>0.04741379310344827</v>
      </c>
    </row>
    <row r="14">
      <c r="A14" s="26" t="n">
        <v>7</v>
      </c>
      <c r="B14" s="18" t="inlineStr">
        <is>
          <t>Nguyễn Đức Hoà</t>
        </is>
      </c>
      <c r="C14" s="26" t="n">
        <v>0</v>
      </c>
      <c r="D14" s="55">
        <f>$B$5</f>
        <v/>
      </c>
      <c r="E14" s="55" t="n">
        <v>0</v>
      </c>
      <c r="F14" s="56" t="n">
        <v>0</v>
      </c>
    </row>
    <row r="15">
      <c r="A15" s="26" t="n">
        <v>8</v>
      </c>
      <c r="B15" s="18" t="inlineStr">
        <is>
          <t>Nguyễn Thanh Nhàn</t>
        </is>
      </c>
      <c r="C15" s="26" t="n">
        <v>25</v>
      </c>
      <c r="D15" s="55">
        <f>$B$5</f>
        <v/>
      </c>
      <c r="E15" s="55" t="n">
        <v>498866214</v>
      </c>
      <c r="F15" s="56" t="n">
        <v>0.1077586206896552</v>
      </c>
    </row>
    <row r="16">
      <c r="A16" s="26" t="n">
        <v>9</v>
      </c>
      <c r="B16" s="18" t="inlineStr">
        <is>
          <t>Nguyễn Thị Thanh Thủy</t>
        </is>
      </c>
      <c r="C16" s="26" t="n">
        <v>6</v>
      </c>
      <c r="D16" s="55">
        <f>$B$5</f>
        <v/>
      </c>
      <c r="E16" s="55" t="n">
        <v>119727891</v>
      </c>
      <c r="F16" s="56" t="n">
        <v>0.02586206896551724</v>
      </c>
    </row>
    <row r="17">
      <c r="A17" s="26" t="n">
        <v>10</v>
      </c>
      <c r="B17" s="18" t="inlineStr">
        <is>
          <t>Phạm Thị Kim Nhung</t>
        </is>
      </c>
      <c r="C17" s="26" t="n">
        <v>20</v>
      </c>
      <c r="D17" s="55">
        <f>$B$5</f>
        <v/>
      </c>
      <c r="E17" s="55" t="n">
        <v>399092971</v>
      </c>
      <c r="F17" s="56" t="n">
        <v>0.08620689655172414</v>
      </c>
    </row>
    <row r="18">
      <c r="A18" s="30" t="inlineStr"/>
      <c r="B18" s="57" t="inlineStr">
        <is>
          <t>TỔNG</t>
        </is>
      </c>
      <c r="C18" s="58" t="n">
        <v>178</v>
      </c>
      <c r="D18" s="30" t="n"/>
      <c r="E18" s="59">
        <f>SUM(E8:E17)</f>
        <v/>
      </c>
      <c r="F18" s="60" t="n">
        <v>0.7672413793103449</v>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5" customWidth="1" min="1" max="1"/>
    <col width="30" customWidth="1" min="2" max="2"/>
  </cols>
  <sheetData>
    <row r="1">
      <c r="A1" s="51" t="inlineStr">
        <is>
          <t>CẤU HÌNH BÁO CÁO</t>
        </is>
      </c>
    </row>
    <row r="3">
      <c r="A3" s="54" t="inlineStr">
        <is>
          <t>Thông số</t>
        </is>
      </c>
      <c r="B3" s="54" t="inlineStr">
        <is>
          <t>Giá trị</t>
        </is>
      </c>
    </row>
    <row r="4">
      <c r="A4" s="18" t="inlineStr">
        <is>
          <t>Team Lead</t>
        </is>
      </c>
      <c r="B4" s="61" t="inlineStr">
        <is>
          <t>Trần Thị Cẩm Giang</t>
        </is>
      </c>
    </row>
    <row r="5">
      <c r="A5" s="18" t="inlineStr">
        <is>
          <t>Tháng báo cáo</t>
        </is>
      </c>
      <c r="B5" s="61" t="inlineStr">
        <is>
          <t>9/2026</t>
        </is>
      </c>
    </row>
    <row r="6">
      <c r="A6" s="18" t="inlineStr">
        <is>
          <t>% Timegone</t>
        </is>
      </c>
      <c r="B6" s="61" t="inlineStr">
        <is>
          <t>46.67%</t>
        </is>
      </c>
    </row>
    <row r="7">
      <c r="A7" s="18" t="inlineStr">
        <is>
          <t>Tổng Target BHX (hệ thống)</t>
        </is>
      </c>
      <c r="B7" s="61" t="inlineStr">
        <is>
          <t>323,157,895 VNĐ</t>
        </is>
      </c>
    </row>
    <row r="8">
      <c r="A8" s="18" t="inlineStr">
        <is>
          <t>Tổng Thực Hiện BHX (hệ thống)</t>
        </is>
      </c>
      <c r="B8" s="61" t="inlineStr">
        <is>
          <t>4,629,478,466 VNĐ</t>
        </is>
      </c>
    </row>
    <row r="9">
      <c r="A9" s="18" t="inlineStr">
        <is>
          <t>Tổng cửa hàng BHX</t>
        </is>
      </c>
      <c r="B9" s="61" t="n">
        <v>232</v>
      </c>
    </row>
    <row r="10">
      <c r="A10" s="18" t="inlineStr">
        <is>
          <t>Số NV trong team</t>
        </is>
      </c>
      <c r="B10" s="61" t="n">
        <v>10</v>
      </c>
    </row>
    <row r="11">
      <c r="A11" s="18" t="inlineStr">
        <is>
          <t>Tổng CH CVS toàn team</t>
        </is>
      </c>
      <c r="B11" s="61" t="n">
        <v>138</v>
      </c>
    </row>
    <row r="12">
      <c r="A12" s="18" t="inlineStr">
        <is>
          <t>Cập nhật lúc</t>
        </is>
      </c>
      <c r="B12" s="61" t="inlineStr">
        <is>
          <t>14/09/2026 15:37</t>
        </is>
      </c>
    </row>
  </sheetData>
  <mergeCells count="1">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B41"/>
  <sheetViews>
    <sheetView workbookViewId="0">
      <pane xSplit="8" ySplit="5" topLeftCell="I6" activePane="bottomRight" state="frozen"/>
      <selection pane="topRight" activeCell="A1" sqref="A1"/>
      <selection pane="bottomLeft" activeCell="A1" sqref="A1"/>
      <selection pane="bottomRight" activeCell="A1" sqref="A1"/>
    </sheetView>
  </sheetViews>
  <sheetFormatPr baseColWidth="8" defaultRowHeight="15"/>
  <cols>
    <col width="42" customWidth="1" min="1" max="1"/>
    <col width="16" customWidth="1" min="2" max="2"/>
    <col width="13" customWidth="1" min="3" max="3"/>
    <col width="22" customWidth="1" min="4" max="4"/>
    <col width="8" customWidth="1" min="5" max="5"/>
    <col width="18" customWidth="1" min="6" max="6"/>
    <col width="20" customWidth="1" min="7" max="7"/>
    <col width="11"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16" customWidth="1" min="49" max="49"/>
    <col width="16" customWidth="1" min="50" max="50"/>
    <col width="16" customWidth="1" min="51" max="51"/>
    <col width="16" customWidth="1" min="52" max="52"/>
    <col width="16" customWidth="1" min="53" max="53"/>
    <col width="16" customWidth="1" min="54" max="54"/>
  </cols>
  <sheetData>
    <row r="1" ht="32" customHeight="1">
      <c r="A1" s="51" t="inlineStr">
        <is>
          <t>🛒 BÁO CÁO CHI TIẾT NHẬP HÀNG THEO CỬA HÀNG &amp; SKU - CHUỖI FAMILYMART</t>
        </is>
      </c>
    </row>
    <row r="2" ht="18" customHeight="1">
      <c r="A2" s="62" t="inlineStr">
        <is>
          <t>Số Cửa Hàng</t>
        </is>
      </c>
      <c r="B2" s="62" t="inlineStr">
        <is>
          <t>Tổng Chỉ Tiêu</t>
        </is>
      </c>
      <c r="C2" s="62" t="inlineStr">
        <is>
          <t>Tổng Thực Hiện</t>
        </is>
      </c>
      <c r="D2" s="62" t="inlineStr">
        <is>
          <t>% Đạt</t>
        </is>
      </c>
      <c r="E2" s="62" t="inlineStr">
        <is>
          <t>% Timegone</t>
        </is>
      </c>
      <c r="F2" s="62" t="inlineStr">
        <is>
          <t>Đánh Giá</t>
        </is>
      </c>
      <c r="G2" s="62" t="inlineStr">
        <is>
          <t>CH Đạt Tiến Độ</t>
        </is>
      </c>
    </row>
    <row r="3" ht="24" customHeight="1">
      <c r="A3" s="63" t="inlineStr">
        <is>
          <t>35 CH</t>
        </is>
      </c>
      <c r="B3" s="64" t="inlineStr">
        <is>
          <t>287,987,250 đ</t>
        </is>
      </c>
      <c r="C3" s="65" t="inlineStr">
        <is>
          <t>84,178,050 đ</t>
        </is>
      </c>
      <c r="D3" s="66" t="inlineStr">
        <is>
          <t>29.2%</t>
        </is>
      </c>
      <c r="E3" s="67" t="inlineStr">
        <is>
          <t>46.7%</t>
        </is>
      </c>
      <c r="F3" s="66" t="inlineStr">
        <is>
          <t>🔴 CHẬM (-17.4%)</t>
        </is>
      </c>
      <c r="G3" s="68" t="inlineStr">
        <is>
          <t>6/35 CH (17%)</t>
        </is>
      </c>
    </row>
    <row r="4" ht="24" customHeight="1">
      <c r="A4" s="69" t="inlineStr">
        <is>
          <t>THÔNG TIN ĐIỂM BÁN (STORE MASTER)</t>
        </is>
      </c>
      <c r="B4" s="107" t="n"/>
      <c r="C4" s="107" t="n"/>
      <c r="D4" s="107" t="n"/>
      <c r="E4" s="108" t="n"/>
      <c r="F4" s="70" t="inlineStr">
        <is>
          <t>CHỈ TIÊU &amp; TỔNG THỰC HIỆN</t>
        </is>
      </c>
      <c r="G4" s="107" t="n"/>
      <c r="H4" s="108" t="n"/>
      <c r="I4" s="71" t="inlineStr">
        <is>
          <t>TRỌNG TÂM / GREEN FARM &amp; CAO ĐẠM</t>
        </is>
      </c>
      <c r="J4" s="107" t="n"/>
      <c r="K4" s="107" t="n"/>
      <c r="L4" s="107" t="n"/>
      <c r="M4" s="107" t="n"/>
      <c r="N4" s="108" t="n"/>
      <c r="O4" s="72" t="inlineStr">
        <is>
          <t>KEM VINAMILK</t>
        </is>
      </c>
      <c r="P4" s="107" t="n"/>
      <c r="Q4" s="107" t="n"/>
      <c r="R4" s="107" t="n"/>
      <c r="S4" s="107" t="n"/>
      <c r="T4" s="108" t="n"/>
      <c r="U4" s="73" t="inlineStr">
        <is>
          <t>SỮA CHUA &amp; PROBI</t>
        </is>
      </c>
      <c r="V4" s="107" t="n"/>
      <c r="W4" s="107" t="n"/>
      <c r="X4" s="107" t="n"/>
      <c r="Y4" s="107" t="n"/>
      <c r="Z4" s="107" t="n"/>
      <c r="AA4" s="107" t="n"/>
      <c r="AB4" s="107" t="n"/>
      <c r="AC4" s="108" t="n"/>
      <c r="AD4" s="74" t="inlineStr">
        <is>
          <t>SỮA ĐẶC &amp; CREAMER</t>
        </is>
      </c>
      <c r="AE4" s="107" t="n"/>
      <c r="AF4" s="107" t="n"/>
      <c r="AG4" s="107" t="n"/>
      <c r="AH4" s="108" t="n"/>
      <c r="AI4" s="75" t="inlineStr">
        <is>
          <t>SỮA TƯƠI TIỆT TRÙNG</t>
        </is>
      </c>
      <c r="AJ4" s="107" t="n"/>
      <c r="AK4" s="107" t="n"/>
      <c r="AL4" s="107" t="n"/>
      <c r="AM4" s="107" t="n"/>
      <c r="AN4" s="107" t="n"/>
      <c r="AO4" s="107" t="n"/>
      <c r="AP4" s="107" t="n"/>
      <c r="AQ4" s="107" t="n"/>
      <c r="AR4" s="108" t="n"/>
      <c r="AS4" s="76" t="inlineStr">
        <is>
          <t>SỮA HẠT &amp; NƯỚC ÉP</t>
        </is>
      </c>
      <c r="AT4" s="107" t="n"/>
      <c r="AU4" s="107" t="n"/>
      <c r="AV4" s="107" t="n"/>
      <c r="AW4" s="107" t="n"/>
      <c r="AX4" s="107" t="n"/>
      <c r="AY4" s="107" t="n"/>
      <c r="AZ4" s="107" t="n"/>
      <c r="BA4" s="107" t="n"/>
      <c r="BB4" s="108" t="n"/>
    </row>
    <row r="5" ht="45" customHeight="1">
      <c r="A5" s="77" t="inlineStr">
        <is>
          <t>Địa chỉ Store (ship to)</t>
        </is>
      </c>
      <c r="B5" s="77" t="inlineStr">
        <is>
          <t>Tên Store (Location)</t>
        </is>
      </c>
      <c r="C5" s="77" t="inlineStr">
        <is>
          <t>Mã PG</t>
        </is>
      </c>
      <c r="D5" s="77" t="inlineStr">
        <is>
          <t>Họ Tên PG</t>
        </is>
      </c>
      <c r="E5" s="77" t="inlineStr">
        <is>
          <t>VTCV</t>
        </is>
      </c>
      <c r="F5" s="78" t="inlineStr">
        <is>
          <t>Chỉ tiêu Doanh Số Nhập (VND)</t>
        </is>
      </c>
      <c r="G5" s="79" t="inlineStr">
        <is>
          <t>Tổng Doanh Số Nhập Thực Hiện (VND)</t>
        </is>
      </c>
      <c r="H5" s="80" t="inlineStr">
        <is>
          <t>% Đạt</t>
        </is>
      </c>
      <c r="I5" s="81" t="inlineStr">
        <is>
          <t>SCU Vinamilk Green Farm 200ml
(07OI20)</t>
        </is>
      </c>
      <c r="J5" s="81" t="inlineStr">
        <is>
          <t>STT cao đạm ít béo VNM Green Farm 250ml
(04GP22)</t>
        </is>
      </c>
      <c r="K5" s="81" t="inlineStr">
        <is>
          <t>STTT rất ít đường VNM Green Farm 180ml
(04GI14)</t>
        </is>
      </c>
      <c r="L5" s="81" t="inlineStr">
        <is>
          <t>SCA GF Topping Hy Lạp Cao Đạm Cà Phê 121g
(07FC10)</t>
        </is>
      </c>
      <c r="M5" s="81" t="inlineStr">
        <is>
          <t>SCA GF Topping Hy Lạp Cao Đạm Mật Ong 123g
(07FM10)</t>
        </is>
      </c>
      <c r="N5" s="81" t="inlineStr">
        <is>
          <t>Sữa chua cao đạm Vinamilk 100g
(07TP11)</t>
        </is>
      </c>
      <c r="O5" s="82" t="inlineStr">
        <is>
          <t>Kem viên hương vani Vinamilk 48g
(09VN01)</t>
        </is>
      </c>
      <c r="P5" s="82" t="inlineStr">
        <is>
          <t>Kem viên sôcôla Vinamilk 48g
(09VC01)</t>
        </is>
      </c>
      <c r="Q5" s="82" t="inlineStr">
        <is>
          <t>Kem mịn Khoai môn VNM 400ml
(09NM07)</t>
        </is>
      </c>
      <c r="R5" s="82" t="inlineStr">
        <is>
          <t>Kem Gelato Dừa Vinamilk 90ml (12L/T)
(09LD01)</t>
        </is>
      </c>
      <c r="S5" s="82" t="inlineStr">
        <is>
          <t>Kem Gelato Matcha Vinamilk 90ml (12L/T)
(09LM01)</t>
        </is>
      </c>
      <c r="T5" s="82" t="inlineStr">
        <is>
          <t>Kem mịn Dừa VNM 400ml
(09ND08)</t>
        </is>
      </c>
      <c r="U5" s="83" t="inlineStr">
        <is>
          <t>SCA không đường VNM 100g
(07KD12)</t>
        </is>
      </c>
      <c r="V5" s="83" t="inlineStr">
        <is>
          <t>SCA ít đường VNM 100g
(07ID11)</t>
        </is>
      </c>
      <c r="W5" s="83" t="inlineStr">
        <is>
          <t>Sữa chua Nha đam Vinamilk 100g
(07ND21)</t>
        </is>
      </c>
      <c r="X5" s="83" t="inlineStr">
        <is>
          <t>SCU MS ít đường VNM Probi 130ml
(07UI31)</t>
        </is>
      </c>
      <c r="Y5" s="83" t="inlineStr">
        <is>
          <t>SCU MS vị truyền thống VNM Probi 130ml
(07UR31)</t>
        </is>
      </c>
      <c r="Z5" s="83" t="inlineStr">
        <is>
          <t>SCA Có đường VNM 100g
(07TR33)</t>
        </is>
      </c>
      <c r="AA5" s="83" t="inlineStr">
        <is>
          <t>SCA Lựu đỏ IĐ VNM Collagen 100g (24H/T)
(07LI11)</t>
        </is>
      </c>
      <c r="AB5" s="83" t="inlineStr">
        <is>
          <t>SCU MS ít đường VNM Probi 400ml
(07UI40)</t>
        </is>
      </c>
      <c r="AC5" s="83" t="inlineStr">
        <is>
          <t>SCA Việt Quất IĐ VNM 100g (24H/T)
(07VQ11)</t>
        </is>
      </c>
      <c r="AD5" s="84" t="inlineStr">
        <is>
          <t>Creamer đặc có đường NSPN xanh lá 1284g.
(01SX11)</t>
        </is>
      </c>
      <c r="AE5" s="84" t="inlineStr">
        <is>
          <t>Creamer đặc có đường NSPN Xanh lá HG 380g
(01SX07)</t>
        </is>
      </c>
      <c r="AF5" s="84" t="inlineStr">
        <is>
          <t>SĐCĐ Ông Thọ đỏ tuýp 165g
(01TD60)</t>
        </is>
      </c>
      <c r="AG5" s="84" t="inlineStr">
        <is>
          <t>SĐCĐ Ông Thọ đỏ vỉ 40g.
(01VD41)</t>
        </is>
      </c>
      <c r="AH5" s="84" t="inlineStr">
        <is>
          <t>Creamer đặc có đường NSPN xanh lá 380g.
(01SX05)</t>
        </is>
      </c>
      <c r="AI5" s="85" t="inlineStr">
        <is>
          <t>STTT không đường VNM 1L
(04ET04)</t>
        </is>
      </c>
      <c r="AJ5" s="85" t="inlineStr">
        <is>
          <t>STTT sôcôla VNM 180ml
(04EC13)</t>
        </is>
      </c>
      <c r="AK5" s="85" t="inlineStr">
        <is>
          <t>STTT có đường VNM 1L
(04ED04)</t>
        </is>
      </c>
      <c r="AL5" s="85" t="inlineStr">
        <is>
          <t>STTT không đường VNM 100% Sữa tươi F220ml
(04FT2H)</t>
        </is>
      </c>
      <c r="AM5" s="85" t="inlineStr">
        <is>
          <t>STTT có đường VNM 100% Sữa tươi F220ml
(04FD2H)</t>
        </is>
      </c>
      <c r="AN5" s="85" t="inlineStr">
        <is>
          <t>SDD không đường Vinamilk F220ml
(04FT32)</t>
        </is>
      </c>
      <c r="AO5" s="85" t="inlineStr">
        <is>
          <t>STTT ít đường VNM 1L
(04EI04)</t>
        </is>
      </c>
      <c r="AP5" s="85" t="inlineStr">
        <is>
          <t>STTT không đường VNM 180ml
(04ET13)</t>
        </is>
      </c>
      <c r="AQ5" s="85" t="inlineStr">
        <is>
          <t>STTT giảm béo chuối VNM 180ml
(04EB11)</t>
        </is>
      </c>
      <c r="AR5" s="85" t="inlineStr">
        <is>
          <t>STTT có đường VNM 180ml
(04ED13)</t>
        </is>
      </c>
      <c r="AS5" s="86" t="inlineStr">
        <is>
          <t>Sữa hạt 9 loại hạt Vinamilk 180ml (24H/T)
(05AN25)</t>
        </is>
      </c>
      <c r="AT5" s="86" t="inlineStr">
        <is>
          <t>Nước ép Cam Vinamilk 1L
(14BA02)</t>
        </is>
      </c>
      <c r="AU5" s="86" t="inlineStr">
        <is>
          <t>Nước ép Táo Vinamilk 1L
(14BT01)</t>
        </is>
      </c>
      <c r="AV5" s="86" t="inlineStr">
        <is>
          <t>Nước ép Lựu Táo Collagen VNM 275ml
(14AL20)</t>
        </is>
      </c>
      <c r="AW5" s="86" t="inlineStr">
        <is>
          <t>Nước ép Kiwi Táo Collagen VNM 275ml
(14AK20)</t>
        </is>
      </c>
      <c r="AX5" s="86" t="inlineStr">
        <is>
          <t>Nước ép Cam Đào Collagen VNM 275ml
(14AA20)</t>
        </is>
      </c>
      <c r="AY5" s="86" t="inlineStr">
        <is>
          <t>Nước ép Nho Vinamilk 1L
(14BN01)</t>
        </is>
      </c>
      <c r="AZ5" s="86" t="inlineStr">
        <is>
          <t>Necta Đào Vinamilk 1L
(14BD02)</t>
        </is>
      </c>
      <c r="BA5" s="86" t="inlineStr">
        <is>
          <t>Sữa yến mạch Vinamilk hộp 180ml (24H/T)
(05DY10)</t>
        </is>
      </c>
      <c r="BB5" s="86" t="inlineStr">
        <is>
          <t>SĐN Vinamilk hộp 1L
(05BG13)</t>
        </is>
      </c>
    </row>
    <row r="6" ht="20" customHeight="1">
      <c r="A6" s="87" t="inlineStr">
        <is>
          <t>201, Nguyễn Khuyến, , P.Trảng Dài, Đồng Nai</t>
        </is>
      </c>
      <c r="B6" s="88" t="inlineStr">
        <is>
          <t>ST00_CVS_FM</t>
        </is>
      </c>
      <c r="C6" s="88" t="inlineStr">
        <is>
          <t>ST-11F-3018</t>
        </is>
      </c>
      <c r="D6" s="87" t="inlineStr">
        <is>
          <t>Kim Hoàng Khang</t>
        </is>
      </c>
      <c r="E6" s="88" t="inlineStr">
        <is>
          <t>SR</t>
        </is>
      </c>
      <c r="F6" s="89" t="n">
        <v>2870400</v>
      </c>
      <c r="G6" s="90">
        <f>SUM(I6:BB6)</f>
        <v/>
      </c>
      <c r="H6" s="91">
        <f>IF(F6&gt;0, G6/F6, 0)</f>
        <v/>
      </c>
      <c r="I6" s="92" t="n">
        <v>523200</v>
      </c>
      <c r="J6" s="93" t="n">
        <v>0</v>
      </c>
      <c r="K6" s="93" t="n">
        <v>0</v>
      </c>
      <c r="L6" s="93" t="n">
        <v>0</v>
      </c>
      <c r="M6" s="93" t="n">
        <v>0</v>
      </c>
      <c r="N6" s="93" t="n">
        <v>0</v>
      </c>
      <c r="O6" s="93" t="n">
        <v>0</v>
      </c>
      <c r="P6" s="93" t="n">
        <v>0</v>
      </c>
      <c r="Q6" s="93" t="n">
        <v>0</v>
      </c>
      <c r="R6" s="93" t="n">
        <v>0</v>
      </c>
      <c r="S6" s="93" t="n">
        <v>0</v>
      </c>
      <c r="T6" s="93" t="n">
        <v>0</v>
      </c>
      <c r="U6" s="94" t="n">
        <v>71400</v>
      </c>
      <c r="V6" s="93" t="n">
        <v>0</v>
      </c>
      <c r="W6" s="93" t="n">
        <v>0</v>
      </c>
      <c r="X6" s="94" t="n">
        <v>95400</v>
      </c>
      <c r="Y6" s="94" t="n">
        <v>190800</v>
      </c>
      <c r="Z6" s="93" t="n">
        <v>0</v>
      </c>
      <c r="AA6" s="93" t="n">
        <v>0</v>
      </c>
      <c r="AB6" s="93" t="n">
        <v>0</v>
      </c>
      <c r="AC6" s="93" t="n">
        <v>0</v>
      </c>
      <c r="AD6" s="93" t="n">
        <v>0</v>
      </c>
      <c r="AE6" s="93" t="n">
        <v>0</v>
      </c>
      <c r="AF6" s="93" t="n">
        <v>0</v>
      </c>
      <c r="AG6" s="95" t="n">
        <v>127500</v>
      </c>
      <c r="AH6" s="93" t="n">
        <v>0</v>
      </c>
      <c r="AI6" s="93" t="n">
        <v>0</v>
      </c>
      <c r="AJ6" s="93" t="n">
        <v>0</v>
      </c>
      <c r="AK6" s="93" t="n">
        <v>0</v>
      </c>
      <c r="AL6" s="96" t="n">
        <v>199200</v>
      </c>
      <c r="AM6" s="96" t="n">
        <v>199200</v>
      </c>
      <c r="AN6" s="93" t="n">
        <v>0</v>
      </c>
      <c r="AO6" s="93" t="n">
        <v>0</v>
      </c>
      <c r="AP6" s="96" t="n">
        <v>98400</v>
      </c>
      <c r="AQ6" s="96" t="n">
        <v>68000</v>
      </c>
      <c r="AR6" s="93" t="n">
        <v>0</v>
      </c>
      <c r="AS6" s="97" t="n">
        <v>135000</v>
      </c>
      <c r="AT6" s="93" t="n">
        <v>0</v>
      </c>
      <c r="AU6" s="93" t="n">
        <v>0</v>
      </c>
      <c r="AV6" s="93" t="n">
        <v>0</v>
      </c>
      <c r="AW6" s="93" t="n">
        <v>0</v>
      </c>
      <c r="AX6" s="93" t="n">
        <v>0</v>
      </c>
      <c r="AY6" s="93" t="n">
        <v>0</v>
      </c>
      <c r="AZ6" s="93" t="n">
        <v>0</v>
      </c>
      <c r="BA6" s="97" t="n">
        <v>108000</v>
      </c>
      <c r="BB6" s="93" t="n">
        <v>0</v>
      </c>
    </row>
    <row r="7" ht="20" customHeight="1">
      <c r="A7" s="98" t="inlineStr">
        <is>
          <t>06, Hoàng Hoa Thám, , P.Vũng Tàu, Hồ Chí Minh</t>
        </is>
      </c>
      <c r="B7" s="99" t="inlineStr">
        <is>
          <t>ST00_CVS_FM</t>
        </is>
      </c>
      <c r="C7" s="99" t="inlineStr">
        <is>
          <t>ST-12H-3011</t>
        </is>
      </c>
      <c r="D7" s="98" t="inlineStr">
        <is>
          <t>Nguyễn Thị Thanh Thủy</t>
        </is>
      </c>
      <c r="E7" s="99" t="inlineStr">
        <is>
          <t>SR</t>
        </is>
      </c>
      <c r="F7" s="89" t="n">
        <v>6513600</v>
      </c>
      <c r="G7" s="90">
        <f>SUM(I7:BB7)</f>
        <v/>
      </c>
      <c r="H7" s="91">
        <f>IF(F7&gt;0, G7/F7, 0)</f>
        <v/>
      </c>
      <c r="I7" s="92" t="n">
        <v>523200</v>
      </c>
      <c r="J7" s="100" t="n">
        <v>0</v>
      </c>
      <c r="K7" s="100" t="n">
        <v>0</v>
      </c>
      <c r="L7" s="100" t="n">
        <v>0</v>
      </c>
      <c r="M7" s="100" t="n">
        <v>0</v>
      </c>
      <c r="N7" s="92" t="n">
        <v>435600</v>
      </c>
      <c r="O7" s="100" t="n">
        <v>0</v>
      </c>
      <c r="P7" s="100" t="n">
        <v>0</v>
      </c>
      <c r="Q7" s="100" t="n">
        <v>0</v>
      </c>
      <c r="R7" s="100" t="n">
        <v>0</v>
      </c>
      <c r="S7" s="100" t="n">
        <v>0</v>
      </c>
      <c r="T7" s="100" t="n">
        <v>0</v>
      </c>
      <c r="U7" s="94" t="n">
        <v>142800</v>
      </c>
      <c r="V7" s="100" t="n">
        <v>0</v>
      </c>
      <c r="W7" s="100" t="n">
        <v>0</v>
      </c>
      <c r="X7" s="100" t="n">
        <v>0</v>
      </c>
      <c r="Y7" s="100" t="n">
        <v>0</v>
      </c>
      <c r="Z7" s="94" t="n">
        <v>142800</v>
      </c>
      <c r="AA7" s="100" t="n">
        <v>0</v>
      </c>
      <c r="AB7" s="94" t="n">
        <v>138600</v>
      </c>
      <c r="AC7" s="100" t="n">
        <v>0</v>
      </c>
      <c r="AD7" s="95" t="n">
        <v>191250</v>
      </c>
      <c r="AE7" s="100" t="n">
        <v>0</v>
      </c>
      <c r="AF7" s="100" t="n">
        <v>0</v>
      </c>
      <c r="AG7" s="100" t="n">
        <v>0</v>
      </c>
      <c r="AH7" s="100" t="n">
        <v>0</v>
      </c>
      <c r="AI7" s="96" t="n">
        <v>221100</v>
      </c>
      <c r="AJ7" s="100" t="n">
        <v>0</v>
      </c>
      <c r="AK7" s="100" t="n">
        <v>0</v>
      </c>
      <c r="AL7" s="100" t="n">
        <v>0</v>
      </c>
      <c r="AM7" s="100" t="n">
        <v>0</v>
      </c>
      <c r="AN7" s="100" t="n">
        <v>0</v>
      </c>
      <c r="AO7" s="100" t="n">
        <v>0</v>
      </c>
      <c r="AP7" s="100" t="n">
        <v>0</v>
      </c>
      <c r="AQ7" s="100" t="n">
        <v>0</v>
      </c>
      <c r="AR7" s="100" t="n">
        <v>0</v>
      </c>
      <c r="AS7" s="97" t="n">
        <v>135000</v>
      </c>
      <c r="AT7" s="100" t="n">
        <v>0</v>
      </c>
      <c r="AU7" s="100" t="n">
        <v>0</v>
      </c>
      <c r="AV7" s="100" t="n">
        <v>0</v>
      </c>
      <c r="AW7" s="100" t="n">
        <v>0</v>
      </c>
      <c r="AX7" s="100" t="n">
        <v>0</v>
      </c>
      <c r="AY7" s="100" t="n">
        <v>0</v>
      </c>
      <c r="AZ7" s="100" t="n">
        <v>0</v>
      </c>
      <c r="BA7" s="100" t="n">
        <v>0</v>
      </c>
      <c r="BB7" s="100" t="n">
        <v>0</v>
      </c>
    </row>
    <row r="8" ht="20" customHeight="1">
      <c r="A8" s="87" t="inlineStr">
        <is>
          <t>148, Hoàng Hoa Thám, , P.Vũng Tàu, Hồ Chí Minh</t>
        </is>
      </c>
      <c r="B8" s="88" t="inlineStr">
        <is>
          <t>ST00_CVS_FM</t>
        </is>
      </c>
      <c r="C8" s="88" t="inlineStr">
        <is>
          <t>ST-12H-3011</t>
        </is>
      </c>
      <c r="D8" s="87" t="inlineStr">
        <is>
          <t>Nguyễn Thị Thanh Thủy</t>
        </is>
      </c>
      <c r="E8" s="88" t="inlineStr">
        <is>
          <t>SR</t>
        </is>
      </c>
      <c r="F8" s="89" t="n">
        <v>8846550</v>
      </c>
      <c r="G8" s="90">
        <f>SUM(I8:BB8)</f>
        <v/>
      </c>
      <c r="H8" s="91">
        <f>IF(F8&gt;0, G8/F8, 0)</f>
        <v/>
      </c>
      <c r="I8" s="92" t="n">
        <v>523200</v>
      </c>
      <c r="J8" s="93" t="n">
        <v>0</v>
      </c>
      <c r="K8" s="93" t="n">
        <v>0</v>
      </c>
      <c r="L8" s="93" t="n">
        <v>0</v>
      </c>
      <c r="M8" s="93" t="n">
        <v>0</v>
      </c>
      <c r="N8" s="93" t="n">
        <v>0</v>
      </c>
      <c r="O8" s="93" t="n">
        <v>0</v>
      </c>
      <c r="P8" s="93" t="n">
        <v>0</v>
      </c>
      <c r="Q8" s="93" t="n">
        <v>0</v>
      </c>
      <c r="R8" s="93" t="n">
        <v>0</v>
      </c>
      <c r="S8" s="93" t="n">
        <v>0</v>
      </c>
      <c r="T8" s="93" t="n">
        <v>0</v>
      </c>
      <c r="U8" s="93" t="n">
        <v>0</v>
      </c>
      <c r="V8" s="93" t="n">
        <v>0</v>
      </c>
      <c r="W8" s="94" t="n">
        <v>171600</v>
      </c>
      <c r="X8" s="94" t="n">
        <v>95400</v>
      </c>
      <c r="Y8" s="93" t="n">
        <v>0</v>
      </c>
      <c r="Z8" s="94" t="n">
        <v>142800</v>
      </c>
      <c r="AA8" s="93" t="n">
        <v>0</v>
      </c>
      <c r="AB8" s="93" t="n">
        <v>0</v>
      </c>
      <c r="AC8" s="93" t="n">
        <v>0</v>
      </c>
      <c r="AD8" s="95" t="n">
        <v>318750</v>
      </c>
      <c r="AE8" s="93" t="n">
        <v>0</v>
      </c>
      <c r="AF8" s="93" t="n">
        <v>0</v>
      </c>
      <c r="AG8" s="93" t="n">
        <v>0</v>
      </c>
      <c r="AH8" s="93" t="n">
        <v>0</v>
      </c>
      <c r="AI8" s="96" t="n">
        <v>221100</v>
      </c>
      <c r="AJ8" s="93" t="n">
        <v>0</v>
      </c>
      <c r="AK8" s="93" t="n">
        <v>0</v>
      </c>
      <c r="AL8" s="96" t="n">
        <v>398400</v>
      </c>
      <c r="AM8" s="93" t="n">
        <v>0</v>
      </c>
      <c r="AN8" s="93" t="n">
        <v>0</v>
      </c>
      <c r="AO8" s="96" t="n">
        <v>221100</v>
      </c>
      <c r="AP8" s="96" t="n">
        <v>196800</v>
      </c>
      <c r="AQ8" s="96" t="n">
        <v>204000</v>
      </c>
      <c r="AR8" s="93" t="n">
        <v>0</v>
      </c>
      <c r="AS8" s="97" t="n">
        <v>135000</v>
      </c>
      <c r="AT8" s="93" t="n">
        <v>0</v>
      </c>
      <c r="AU8" s="93" t="n">
        <v>0</v>
      </c>
      <c r="AV8" s="93" t="n">
        <v>0</v>
      </c>
      <c r="AW8" s="93" t="n">
        <v>0</v>
      </c>
      <c r="AX8" s="93" t="n">
        <v>0</v>
      </c>
      <c r="AY8" s="93" t="n">
        <v>0</v>
      </c>
      <c r="AZ8" s="93" t="n">
        <v>0</v>
      </c>
      <c r="BA8" s="93" t="n">
        <v>0</v>
      </c>
      <c r="BB8" s="93" t="n">
        <v>0</v>
      </c>
    </row>
    <row r="9" ht="20" customHeight="1">
      <c r="A9" s="98" t="inlineStr">
        <is>
          <t>171, Nam Kỳ Khởi Nghĩa, P.6, TP.Vũng Tàu, Bà Rịa Vũng Tàu</t>
        </is>
      </c>
      <c r="B9" s="99" t="inlineStr">
        <is>
          <t>ST00_CVS_FM</t>
        </is>
      </c>
      <c r="C9" s="99" t="inlineStr">
        <is>
          <t>ST-12H-3011</t>
        </is>
      </c>
      <c r="D9" s="98" t="inlineStr">
        <is>
          <t>Nguyễn Thị Thanh Thủy</t>
        </is>
      </c>
      <c r="E9" s="99" t="inlineStr">
        <is>
          <t>SR</t>
        </is>
      </c>
      <c r="F9" s="89" t="n">
        <v>5192250</v>
      </c>
      <c r="G9" s="90">
        <f>SUM(I9:BB9)</f>
        <v/>
      </c>
      <c r="H9" s="91">
        <f>IF(F9&gt;0, G9/F9, 0)</f>
        <v/>
      </c>
      <c r="I9" s="92" t="n">
        <v>261600</v>
      </c>
      <c r="J9" s="100" t="n">
        <v>0</v>
      </c>
      <c r="K9" s="92" t="n">
        <v>448800</v>
      </c>
      <c r="L9" s="100" t="n">
        <v>0</v>
      </c>
      <c r="M9" s="100" t="n">
        <v>0</v>
      </c>
      <c r="N9" s="92" t="n">
        <v>290400</v>
      </c>
      <c r="O9" s="100" t="n">
        <v>0</v>
      </c>
      <c r="P9" s="100" t="n">
        <v>0</v>
      </c>
      <c r="Q9" s="100" t="n">
        <v>0</v>
      </c>
      <c r="R9" s="100" t="n">
        <v>0</v>
      </c>
      <c r="S9" s="100" t="n">
        <v>0</v>
      </c>
      <c r="T9" s="100" t="n">
        <v>0</v>
      </c>
      <c r="U9" s="94" t="n">
        <v>285600</v>
      </c>
      <c r="V9" s="100" t="n">
        <v>0</v>
      </c>
      <c r="W9" s="100" t="n">
        <v>0</v>
      </c>
      <c r="X9" s="100" t="n">
        <v>0</v>
      </c>
      <c r="Y9" s="94" t="n">
        <v>95400</v>
      </c>
      <c r="Z9" s="94" t="n">
        <v>142800</v>
      </c>
      <c r="AA9" s="100" t="n">
        <v>0</v>
      </c>
      <c r="AB9" s="94" t="n">
        <v>138600</v>
      </c>
      <c r="AC9" s="100" t="n">
        <v>0</v>
      </c>
      <c r="AD9" s="95" t="n">
        <v>382500</v>
      </c>
      <c r="AE9" s="100" t="n">
        <v>0</v>
      </c>
      <c r="AF9" s="100" t="n">
        <v>0</v>
      </c>
      <c r="AG9" s="100" t="n">
        <v>0</v>
      </c>
      <c r="AH9" s="100" t="n">
        <v>0</v>
      </c>
      <c r="AI9" s="100" t="n">
        <v>0</v>
      </c>
      <c r="AJ9" s="100" t="n">
        <v>0</v>
      </c>
      <c r="AK9" s="100" t="n">
        <v>0</v>
      </c>
      <c r="AL9" s="100" t="n">
        <v>0</v>
      </c>
      <c r="AM9" s="100" t="n">
        <v>0</v>
      </c>
      <c r="AN9" s="100" t="n">
        <v>0</v>
      </c>
      <c r="AO9" s="100" t="n">
        <v>0</v>
      </c>
      <c r="AP9" s="100" t="n">
        <v>0</v>
      </c>
      <c r="AQ9" s="96" t="n">
        <v>204000</v>
      </c>
      <c r="AR9" s="100" t="n">
        <v>0</v>
      </c>
      <c r="AS9" s="97" t="n">
        <v>270000</v>
      </c>
      <c r="AT9" s="100" t="n">
        <v>0</v>
      </c>
      <c r="AU9" s="100" t="n">
        <v>0</v>
      </c>
      <c r="AV9" s="100" t="n">
        <v>0</v>
      </c>
      <c r="AW9" s="100" t="n">
        <v>0</v>
      </c>
      <c r="AX9" s="100" t="n">
        <v>0</v>
      </c>
      <c r="AY9" s="100" t="n">
        <v>0</v>
      </c>
      <c r="AZ9" s="100" t="n">
        <v>0</v>
      </c>
      <c r="BA9" s="97" t="n">
        <v>216000</v>
      </c>
      <c r="BB9" s="100" t="n">
        <v>0</v>
      </c>
    </row>
    <row r="10" ht="20" customHeight="1">
      <c r="A10" s="87" t="inlineStr">
        <is>
          <t>26D, Lê Hồng Phong, , P.Tam Thắng, Hồ Chí Minh</t>
        </is>
      </c>
      <c r="B10" s="88" t="inlineStr">
        <is>
          <t>FamilyMart</t>
        </is>
      </c>
      <c r="C10" s="88" t="inlineStr">
        <is>
          <t>ST-12H-3011</t>
        </is>
      </c>
      <c r="D10" s="87" t="inlineStr">
        <is>
          <t>Nguyễn Thị Thanh Thủy</t>
        </is>
      </c>
      <c r="E10" s="88" t="inlineStr">
        <is>
          <t>SR</t>
        </is>
      </c>
      <c r="F10" s="89" t="n">
        <v>6924900</v>
      </c>
      <c r="G10" s="90">
        <f>SUM(I10:BB10)</f>
        <v/>
      </c>
      <c r="H10" s="91">
        <f>IF(F10&gt;0, G10/F10, 0)</f>
        <v/>
      </c>
      <c r="I10" s="92" t="n">
        <v>1046400</v>
      </c>
      <c r="J10" s="92" t="n">
        <v>536400</v>
      </c>
      <c r="K10" s="93" t="n">
        <v>0</v>
      </c>
      <c r="L10" s="93" t="n">
        <v>0</v>
      </c>
      <c r="M10" s="93" t="n">
        <v>0</v>
      </c>
      <c r="N10" s="92" t="n">
        <v>290400</v>
      </c>
      <c r="O10" s="93" t="n">
        <v>0</v>
      </c>
      <c r="P10" s="93" t="n">
        <v>0</v>
      </c>
      <c r="Q10" s="93" t="n">
        <v>0</v>
      </c>
      <c r="R10" s="93" t="n">
        <v>0</v>
      </c>
      <c r="S10" s="93" t="n">
        <v>0</v>
      </c>
      <c r="T10" s="93" t="n">
        <v>0</v>
      </c>
      <c r="U10" s="93" t="n">
        <v>0</v>
      </c>
      <c r="V10" s="93" t="n">
        <v>0</v>
      </c>
      <c r="W10" s="93" t="n">
        <v>0</v>
      </c>
      <c r="X10" s="94" t="n">
        <v>190800</v>
      </c>
      <c r="Y10" s="93" t="n">
        <v>0</v>
      </c>
      <c r="Z10" s="93" t="n">
        <v>0</v>
      </c>
      <c r="AA10" s="93" t="n">
        <v>0</v>
      </c>
      <c r="AB10" s="93" t="n">
        <v>0</v>
      </c>
      <c r="AC10" s="94" t="n">
        <v>180000</v>
      </c>
      <c r="AD10" s="95" t="n">
        <v>255000</v>
      </c>
      <c r="AE10" s="95" t="n">
        <v>230400</v>
      </c>
      <c r="AF10" s="93" t="n">
        <v>0</v>
      </c>
      <c r="AG10" s="95" t="n">
        <v>127500</v>
      </c>
      <c r="AH10" s="93" t="n">
        <v>0</v>
      </c>
      <c r="AI10" s="93" t="n">
        <v>0</v>
      </c>
      <c r="AJ10" s="93" t="n">
        <v>0</v>
      </c>
      <c r="AK10" s="96" t="n">
        <v>221100</v>
      </c>
      <c r="AL10" s="93" t="n">
        <v>0</v>
      </c>
      <c r="AM10" s="93" t="n">
        <v>0</v>
      </c>
      <c r="AN10" s="93" t="n">
        <v>0</v>
      </c>
      <c r="AO10" s="93" t="n">
        <v>0</v>
      </c>
      <c r="AP10" s="93" t="n">
        <v>0</v>
      </c>
      <c r="AQ10" s="93" t="n">
        <v>0</v>
      </c>
      <c r="AR10" s="93" t="n">
        <v>0</v>
      </c>
      <c r="AS10" s="93" t="n">
        <v>0</v>
      </c>
      <c r="AT10" s="93" t="n">
        <v>0</v>
      </c>
      <c r="AU10" s="93" t="n">
        <v>0</v>
      </c>
      <c r="AV10" s="97" t="n">
        <v>229200</v>
      </c>
      <c r="AW10" s="93" t="n">
        <v>0</v>
      </c>
      <c r="AX10" s="93" t="n">
        <v>0</v>
      </c>
      <c r="AY10" s="93" t="n">
        <v>0</v>
      </c>
      <c r="AZ10" s="93" t="n">
        <v>0</v>
      </c>
      <c r="BA10" s="93" t="n">
        <v>0</v>
      </c>
      <c r="BB10" s="93" t="n">
        <v>0</v>
      </c>
    </row>
    <row r="11" ht="20" customHeight="1">
      <c r="A11" s="98" t="inlineStr">
        <is>
          <t>48, Đồ Chiểu, , P.Vũng Tàu, Hồ Chí Minh</t>
        </is>
      </c>
      <c r="B11" s="99" t="inlineStr">
        <is>
          <t>ST00_CVS_FM</t>
        </is>
      </c>
      <c r="C11" s="99" t="inlineStr">
        <is>
          <t>ST-12H-3011</t>
        </is>
      </c>
      <c r="D11" s="98" t="inlineStr">
        <is>
          <t>Nguyễn Thị Thanh Thủy</t>
        </is>
      </c>
      <c r="E11" s="99" t="inlineStr">
        <is>
          <t>SR</t>
        </is>
      </c>
      <c r="F11" s="89" t="n">
        <v>6491100</v>
      </c>
      <c r="G11" s="90">
        <f>SUM(I11:BB11)</f>
        <v/>
      </c>
      <c r="H11" s="91">
        <f>IF(F11&gt;0, G11/F11, 0)</f>
        <v/>
      </c>
      <c r="I11" s="92" t="n">
        <v>261600</v>
      </c>
      <c r="J11" s="100" t="n">
        <v>0</v>
      </c>
      <c r="K11" s="100" t="n">
        <v>0</v>
      </c>
      <c r="L11" s="100" t="n">
        <v>0</v>
      </c>
      <c r="M11" s="100" t="n">
        <v>0</v>
      </c>
      <c r="N11" s="100" t="n">
        <v>0</v>
      </c>
      <c r="O11" s="100" t="n">
        <v>0</v>
      </c>
      <c r="P11" s="100" t="n">
        <v>0</v>
      </c>
      <c r="Q11" s="100" t="n">
        <v>0</v>
      </c>
      <c r="R11" s="100" t="n">
        <v>0</v>
      </c>
      <c r="S11" s="100" t="n">
        <v>0</v>
      </c>
      <c r="T11" s="100" t="n">
        <v>0</v>
      </c>
      <c r="U11" s="100" t="n">
        <v>0</v>
      </c>
      <c r="V11" s="100" t="n">
        <v>0</v>
      </c>
      <c r="W11" s="100" t="n">
        <v>0</v>
      </c>
      <c r="X11" s="100" t="n">
        <v>0</v>
      </c>
      <c r="Y11" s="94" t="n">
        <v>95400</v>
      </c>
      <c r="Z11" s="100" t="n">
        <v>0</v>
      </c>
      <c r="AA11" s="100" t="n">
        <v>0</v>
      </c>
      <c r="AB11" s="94" t="n">
        <v>138600</v>
      </c>
      <c r="AC11" s="100" t="n">
        <v>0</v>
      </c>
      <c r="AD11" s="100" t="n">
        <v>0</v>
      </c>
      <c r="AE11" s="100" t="n">
        <v>0</v>
      </c>
      <c r="AF11" s="100" t="n">
        <v>0</v>
      </c>
      <c r="AG11" s="100" t="n">
        <v>0</v>
      </c>
      <c r="AH11" s="100" t="n">
        <v>0</v>
      </c>
      <c r="AI11" s="100" t="n">
        <v>0</v>
      </c>
      <c r="AJ11" s="100" t="n">
        <v>0</v>
      </c>
      <c r="AK11" s="100" t="n">
        <v>0</v>
      </c>
      <c r="AL11" s="100" t="n">
        <v>0</v>
      </c>
      <c r="AM11" s="100" t="n">
        <v>0</v>
      </c>
      <c r="AN11" s="100" t="n">
        <v>0</v>
      </c>
      <c r="AO11" s="100" t="n">
        <v>0</v>
      </c>
      <c r="AP11" s="100" t="n">
        <v>0</v>
      </c>
      <c r="AQ11" s="100" t="n">
        <v>0</v>
      </c>
      <c r="AR11" s="96" t="n">
        <v>196800</v>
      </c>
      <c r="AS11" s="100" t="n">
        <v>0</v>
      </c>
      <c r="AT11" s="100" t="n">
        <v>0</v>
      </c>
      <c r="AU11" s="100" t="n">
        <v>0</v>
      </c>
      <c r="AV11" s="100" t="n">
        <v>0</v>
      </c>
      <c r="AW11" s="100" t="n">
        <v>0</v>
      </c>
      <c r="AX11" s="100" t="n">
        <v>0</v>
      </c>
      <c r="AY11" s="100" t="n">
        <v>0</v>
      </c>
      <c r="AZ11" s="100" t="n">
        <v>0</v>
      </c>
      <c r="BA11" s="100" t="n">
        <v>0</v>
      </c>
      <c r="BB11" s="100" t="n">
        <v>0</v>
      </c>
    </row>
    <row r="12" ht="20" customHeight="1">
      <c r="A12" s="87" t="inlineStr">
        <is>
          <t>58, Trương Công Định, , P.Vũng Tàu, Hồ Chí Minh</t>
        </is>
      </c>
      <c r="B12" s="88" t="inlineStr">
        <is>
          <t>ST00_CVS_FM</t>
        </is>
      </c>
      <c r="C12" s="88" t="inlineStr">
        <is>
          <t>ST-12H-3011</t>
        </is>
      </c>
      <c r="D12" s="87" t="inlineStr">
        <is>
          <t>Nguyễn Thị Thanh Thủy</t>
        </is>
      </c>
      <c r="E12" s="88" t="inlineStr">
        <is>
          <t>SR</t>
        </is>
      </c>
      <c r="F12" s="89" t="n">
        <v>5192250</v>
      </c>
      <c r="G12" s="90">
        <f>SUM(I12:BB12)</f>
        <v/>
      </c>
      <c r="H12" s="91">
        <f>IF(F12&gt;0, G12/F12, 0)</f>
        <v/>
      </c>
      <c r="I12" s="92" t="n">
        <v>784800</v>
      </c>
      <c r="J12" s="93" t="n">
        <v>0</v>
      </c>
      <c r="K12" s="93" t="n">
        <v>0</v>
      </c>
      <c r="L12" s="93" t="n">
        <v>0</v>
      </c>
      <c r="M12" s="93" t="n">
        <v>0</v>
      </c>
      <c r="N12" s="92" t="n">
        <v>290400</v>
      </c>
      <c r="O12" s="93" t="n">
        <v>0</v>
      </c>
      <c r="P12" s="93" t="n">
        <v>0</v>
      </c>
      <c r="Q12" s="93" t="n">
        <v>0</v>
      </c>
      <c r="R12" s="93" t="n">
        <v>0</v>
      </c>
      <c r="S12" s="93" t="n">
        <v>0</v>
      </c>
      <c r="T12" s="93" t="n">
        <v>0</v>
      </c>
      <c r="U12" s="93" t="n">
        <v>0</v>
      </c>
      <c r="V12" s="93" t="n">
        <v>0</v>
      </c>
      <c r="W12" s="93" t="n">
        <v>0</v>
      </c>
      <c r="X12" s="94" t="n">
        <v>95400</v>
      </c>
      <c r="Y12" s="94" t="n">
        <v>95400</v>
      </c>
      <c r="Z12" s="93" t="n">
        <v>0</v>
      </c>
      <c r="AA12" s="93" t="n">
        <v>0</v>
      </c>
      <c r="AB12" s="94" t="n">
        <v>277200</v>
      </c>
      <c r="AC12" s="93" t="n">
        <v>0</v>
      </c>
      <c r="AD12" s="95" t="n">
        <v>127500</v>
      </c>
      <c r="AE12" s="95" t="n">
        <v>230400</v>
      </c>
      <c r="AF12" s="93" t="n">
        <v>0</v>
      </c>
      <c r="AG12" s="93" t="n">
        <v>0</v>
      </c>
      <c r="AH12" s="95" t="n">
        <v>230400</v>
      </c>
      <c r="AI12" s="96" t="n">
        <v>221100</v>
      </c>
      <c r="AJ12" s="96" t="n">
        <v>204000</v>
      </c>
      <c r="AK12" s="93" t="n">
        <v>0</v>
      </c>
      <c r="AL12" s="93" t="n">
        <v>0</v>
      </c>
      <c r="AM12" s="93" t="n">
        <v>0</v>
      </c>
      <c r="AN12" s="93" t="n">
        <v>0</v>
      </c>
      <c r="AO12" s="93" t="n">
        <v>0</v>
      </c>
      <c r="AP12" s="93" t="n">
        <v>0</v>
      </c>
      <c r="AQ12" s="93" t="n">
        <v>0</v>
      </c>
      <c r="AR12" s="93" t="n">
        <v>0</v>
      </c>
      <c r="AS12" s="97" t="n">
        <v>135000</v>
      </c>
      <c r="AT12" s="93" t="n">
        <v>0</v>
      </c>
      <c r="AU12" s="93" t="n">
        <v>0</v>
      </c>
      <c r="AV12" s="93" t="n">
        <v>0</v>
      </c>
      <c r="AW12" s="93" t="n">
        <v>0</v>
      </c>
      <c r="AX12" s="93" t="n">
        <v>0</v>
      </c>
      <c r="AY12" s="93" t="n">
        <v>0</v>
      </c>
      <c r="AZ12" s="93" t="n">
        <v>0</v>
      </c>
      <c r="BA12" s="97" t="n">
        <v>216000</v>
      </c>
      <c r="BB12" s="93" t="n">
        <v>0</v>
      </c>
    </row>
    <row r="13" ht="20" customHeight="1">
      <c r="A13" s="98" t="inlineStr">
        <is>
          <t>Số 816, Trần Phú, , P.Vũng Tàu, Hồ Chí Minh</t>
        </is>
      </c>
      <c r="B13" s="99" t="inlineStr">
        <is>
          <t>ST00_CVS_FM</t>
        </is>
      </c>
      <c r="C13" s="99" t="inlineStr">
        <is>
          <t>ST-12H-3011</t>
        </is>
      </c>
      <c r="D13" s="98" t="inlineStr">
        <is>
          <t>Nguyễn Thị Thanh Thủy</t>
        </is>
      </c>
      <c r="E13" s="99" t="inlineStr">
        <is>
          <t>SR</t>
        </is>
      </c>
      <c r="F13" s="89" t="n">
        <v>7022550</v>
      </c>
      <c r="G13" s="90">
        <f>SUM(I13:BB13)</f>
        <v/>
      </c>
      <c r="H13" s="91">
        <f>IF(F13&gt;0, G13/F13, 0)</f>
        <v/>
      </c>
      <c r="I13" s="92" t="n">
        <v>261600</v>
      </c>
      <c r="J13" s="100" t="n">
        <v>0</v>
      </c>
      <c r="K13" s="100" t="n">
        <v>0</v>
      </c>
      <c r="L13" s="100" t="n">
        <v>0</v>
      </c>
      <c r="M13" s="100" t="n">
        <v>0</v>
      </c>
      <c r="N13" s="92" t="n">
        <v>290400</v>
      </c>
      <c r="O13" s="100" t="n">
        <v>0</v>
      </c>
      <c r="P13" s="100" t="n">
        <v>0</v>
      </c>
      <c r="Q13" s="100" t="n">
        <v>0</v>
      </c>
      <c r="R13" s="100" t="n">
        <v>0</v>
      </c>
      <c r="S13" s="100" t="n">
        <v>0</v>
      </c>
      <c r="T13" s="100" t="n">
        <v>0</v>
      </c>
      <c r="U13" s="94" t="n">
        <v>142800</v>
      </c>
      <c r="V13" s="94" t="n">
        <v>142800</v>
      </c>
      <c r="W13" s="100" t="n">
        <v>0</v>
      </c>
      <c r="X13" s="100" t="n">
        <v>0</v>
      </c>
      <c r="Y13" s="100" t="n">
        <v>0</v>
      </c>
      <c r="Z13" s="94" t="n">
        <v>142800</v>
      </c>
      <c r="AA13" s="100" t="n">
        <v>0</v>
      </c>
      <c r="AB13" s="94" t="n">
        <v>138600</v>
      </c>
      <c r="AC13" s="100" t="n">
        <v>0</v>
      </c>
      <c r="AD13" s="100" t="n">
        <v>0</v>
      </c>
      <c r="AE13" s="95" t="n">
        <v>230400</v>
      </c>
      <c r="AF13" s="100" t="n">
        <v>0</v>
      </c>
      <c r="AG13" s="100" t="n">
        <v>0</v>
      </c>
      <c r="AH13" s="100" t="n">
        <v>0</v>
      </c>
      <c r="AI13" s="100" t="n">
        <v>0</v>
      </c>
      <c r="AJ13" s="96" t="n">
        <v>204000</v>
      </c>
      <c r="AK13" s="96" t="n">
        <v>221100</v>
      </c>
      <c r="AL13" s="100" t="n">
        <v>0</v>
      </c>
      <c r="AM13" s="100" t="n">
        <v>0</v>
      </c>
      <c r="AN13" s="100" t="n">
        <v>0</v>
      </c>
      <c r="AO13" s="100" t="n">
        <v>0</v>
      </c>
      <c r="AP13" s="100" t="n">
        <v>0</v>
      </c>
      <c r="AQ13" s="100" t="n">
        <v>0</v>
      </c>
      <c r="AR13" s="100" t="n">
        <v>0</v>
      </c>
      <c r="AS13" s="97" t="n">
        <v>135000</v>
      </c>
      <c r="AT13" s="100" t="n">
        <v>0</v>
      </c>
      <c r="AU13" s="100" t="n">
        <v>0</v>
      </c>
      <c r="AV13" s="100" t="n">
        <v>0</v>
      </c>
      <c r="AW13" s="100" t="n">
        <v>0</v>
      </c>
      <c r="AX13" s="100" t="n">
        <v>0</v>
      </c>
      <c r="AY13" s="100" t="n">
        <v>0</v>
      </c>
      <c r="AZ13" s="100" t="n">
        <v>0</v>
      </c>
      <c r="BA13" s="100" t="n">
        <v>0</v>
      </c>
      <c r="BB13" s="100" t="n">
        <v>0</v>
      </c>
    </row>
    <row r="14" ht="20" customHeight="1">
      <c r="A14" s="87" t="inlineStr">
        <is>
          <t>102 Tầng 1+2 Tòa nhà Phú Hòa,, Số 117, Đ.D1, Khu 7, , P.Phú Lợi, Hồ Chí Minh</t>
        </is>
      </c>
      <c r="B14" s="88" t="inlineStr">
        <is>
          <t>ST00_CVS_FM</t>
        </is>
      </c>
      <c r="C14" s="88" t="inlineStr">
        <is>
          <t>ST-02L-3011</t>
        </is>
      </c>
      <c r="D14" s="87" t="inlineStr">
        <is>
          <t>Nguyễn Đức Hoà</t>
        </is>
      </c>
      <c r="E14" s="88" t="inlineStr">
        <is>
          <t>SR</t>
        </is>
      </c>
      <c r="F14" s="89" t="n">
        <v>7731300</v>
      </c>
      <c r="G14" s="90">
        <f>SUM(I14:BB14)</f>
        <v/>
      </c>
      <c r="H14" s="91">
        <f>IF(F14&gt;0, G14/F14, 0)</f>
        <v/>
      </c>
      <c r="I14" s="93" t="n">
        <v>0</v>
      </c>
      <c r="J14" s="93" t="n">
        <v>0</v>
      </c>
      <c r="K14" s="93" t="n">
        <v>0</v>
      </c>
      <c r="L14" s="93" t="n">
        <v>0</v>
      </c>
      <c r="M14" s="93" t="n">
        <v>0</v>
      </c>
      <c r="N14" s="93" t="n">
        <v>0</v>
      </c>
      <c r="O14" s="93" t="n">
        <v>0</v>
      </c>
      <c r="P14" s="93" t="n">
        <v>0</v>
      </c>
      <c r="Q14" s="101" t="n">
        <v>162600</v>
      </c>
      <c r="R14" s="93" t="n">
        <v>0</v>
      </c>
      <c r="S14" s="93" t="n">
        <v>0</v>
      </c>
      <c r="T14" s="101" t="n">
        <v>162600</v>
      </c>
      <c r="U14" s="94" t="n">
        <v>142800</v>
      </c>
      <c r="V14" s="93" t="n">
        <v>0</v>
      </c>
      <c r="W14" s="94" t="n">
        <v>171600</v>
      </c>
      <c r="X14" s="94" t="n">
        <v>95400</v>
      </c>
      <c r="Y14" s="94" t="n">
        <v>95400</v>
      </c>
      <c r="Z14" s="94" t="n">
        <v>142800</v>
      </c>
      <c r="AA14" s="93" t="n">
        <v>0</v>
      </c>
      <c r="AB14" s="93" t="n">
        <v>0</v>
      </c>
      <c r="AC14" s="93" t="n">
        <v>0</v>
      </c>
      <c r="AD14" s="95" t="n">
        <v>318750</v>
      </c>
      <c r="AE14" s="95" t="n">
        <v>230400</v>
      </c>
      <c r="AF14" s="95" t="n">
        <v>212400</v>
      </c>
      <c r="AG14" s="93" t="n">
        <v>0</v>
      </c>
      <c r="AH14" s="93" t="n">
        <v>0</v>
      </c>
      <c r="AI14" s="93" t="n">
        <v>0</v>
      </c>
      <c r="AJ14" s="93" t="n">
        <v>0</v>
      </c>
      <c r="AK14" s="93" t="n">
        <v>0</v>
      </c>
      <c r="AL14" s="93" t="n">
        <v>0</v>
      </c>
      <c r="AM14" s="93" t="n">
        <v>0</v>
      </c>
      <c r="AN14" s="93" t="n">
        <v>0</v>
      </c>
      <c r="AO14" s="93" t="n">
        <v>0</v>
      </c>
      <c r="AP14" s="93" t="n">
        <v>0</v>
      </c>
      <c r="AQ14" s="93" t="n">
        <v>0</v>
      </c>
      <c r="AR14" s="93" t="n">
        <v>0</v>
      </c>
      <c r="AS14" s="97" t="n">
        <v>270000</v>
      </c>
      <c r="AT14" s="93" t="n">
        <v>0</v>
      </c>
      <c r="AU14" s="93" t="n">
        <v>0</v>
      </c>
      <c r="AV14" s="97" t="n">
        <v>229200</v>
      </c>
      <c r="AW14" s="97" t="n">
        <v>229200</v>
      </c>
      <c r="AX14" s="93" t="n">
        <v>0</v>
      </c>
      <c r="AY14" s="93" t="n">
        <v>0</v>
      </c>
      <c r="AZ14" s="93" t="n">
        <v>0</v>
      </c>
      <c r="BA14" s="97" t="n">
        <v>216000</v>
      </c>
      <c r="BB14" s="93" t="n">
        <v>0</v>
      </c>
    </row>
    <row r="15" ht="20" customHeight="1">
      <c r="A15" s="98" t="inlineStr">
        <is>
          <t>111, Hoàng Văn Thụ, , P.Thủ Dầu Một, Hồ Chí Minh</t>
        </is>
      </c>
      <c r="B15" s="99" t="inlineStr">
        <is>
          <t>ST00_CVS_FM</t>
        </is>
      </c>
      <c r="C15" s="99" t="inlineStr">
        <is>
          <t>ST-02L-3011</t>
        </is>
      </c>
      <c r="D15" s="98" t="inlineStr">
        <is>
          <t>Nguyễn Đức Hoà</t>
        </is>
      </c>
      <c r="E15" s="99" t="inlineStr">
        <is>
          <t>SR</t>
        </is>
      </c>
      <c r="F15" s="89" t="n">
        <v>6750450</v>
      </c>
      <c r="G15" s="90">
        <f>SUM(I15:BB15)</f>
        <v/>
      </c>
      <c r="H15" s="91">
        <f>IF(F15&gt;0, G15/F15, 0)</f>
        <v/>
      </c>
      <c r="I15" s="100" t="n">
        <v>0</v>
      </c>
      <c r="J15" s="100" t="n">
        <v>0</v>
      </c>
      <c r="K15" s="100" t="n">
        <v>0</v>
      </c>
      <c r="L15" s="100" t="n">
        <v>0</v>
      </c>
      <c r="M15" s="100" t="n">
        <v>0</v>
      </c>
      <c r="N15" s="92" t="n">
        <v>145200</v>
      </c>
      <c r="O15" s="100" t="n">
        <v>0</v>
      </c>
      <c r="P15" s="100" t="n">
        <v>0</v>
      </c>
      <c r="Q15" s="100" t="n">
        <v>0</v>
      </c>
      <c r="R15" s="100" t="n">
        <v>0</v>
      </c>
      <c r="S15" s="100" t="n">
        <v>0</v>
      </c>
      <c r="T15" s="100" t="n">
        <v>0</v>
      </c>
      <c r="U15" s="94" t="n">
        <v>142800</v>
      </c>
      <c r="V15" s="100" t="n">
        <v>0</v>
      </c>
      <c r="W15" s="100" t="n">
        <v>0</v>
      </c>
      <c r="X15" s="100" t="n">
        <v>0</v>
      </c>
      <c r="Y15" s="100" t="n">
        <v>0</v>
      </c>
      <c r="Z15" s="100" t="n">
        <v>0</v>
      </c>
      <c r="AA15" s="100" t="n">
        <v>0</v>
      </c>
      <c r="AB15" s="100" t="n">
        <v>0</v>
      </c>
      <c r="AC15" s="100" t="n">
        <v>0</v>
      </c>
      <c r="AD15" s="95" t="n">
        <v>318750</v>
      </c>
      <c r="AE15" s="100" t="n">
        <v>0</v>
      </c>
      <c r="AF15" s="100" t="n">
        <v>0</v>
      </c>
      <c r="AG15" s="100" t="n">
        <v>0</v>
      </c>
      <c r="AH15" s="100" t="n">
        <v>0</v>
      </c>
      <c r="AI15" s="100" t="n">
        <v>0</v>
      </c>
      <c r="AJ15" s="100" t="n">
        <v>0</v>
      </c>
      <c r="AK15" s="100" t="n">
        <v>0</v>
      </c>
      <c r="AL15" s="100" t="n">
        <v>0</v>
      </c>
      <c r="AM15" s="100" t="n">
        <v>0</v>
      </c>
      <c r="AN15" s="100" t="n">
        <v>0</v>
      </c>
      <c r="AO15" s="100" t="n">
        <v>0</v>
      </c>
      <c r="AP15" s="100" t="n">
        <v>0</v>
      </c>
      <c r="AQ15" s="100" t="n">
        <v>0</v>
      </c>
      <c r="AR15" s="100" t="n">
        <v>0</v>
      </c>
      <c r="AS15" s="100" t="n">
        <v>0</v>
      </c>
      <c r="AT15" s="100" t="n">
        <v>0</v>
      </c>
      <c r="AU15" s="97" t="n">
        <v>249000</v>
      </c>
      <c r="AV15" s="100" t="n">
        <v>0</v>
      </c>
      <c r="AW15" s="100" t="n">
        <v>0</v>
      </c>
      <c r="AX15" s="100" t="n">
        <v>0</v>
      </c>
      <c r="AY15" s="100" t="n">
        <v>0</v>
      </c>
      <c r="AZ15" s="100" t="n">
        <v>0</v>
      </c>
      <c r="BA15" s="100" t="n">
        <v>0</v>
      </c>
      <c r="BB15" s="100" t="n">
        <v>0</v>
      </c>
    </row>
    <row r="16" ht="20" customHeight="1">
      <c r="A16" s="87" t="inlineStr">
        <is>
          <t>126, Hoàng Hoa Thám, , P.Phú Lợi, Hồ Chí Minh</t>
        </is>
      </c>
      <c r="B16" s="88" t="inlineStr">
        <is>
          <t>ST00_CVS_FM</t>
        </is>
      </c>
      <c r="C16" s="88" t="inlineStr">
        <is>
          <t>ST-02L-3011</t>
        </is>
      </c>
      <c r="D16" s="87" t="inlineStr">
        <is>
          <t>Nguyễn Đức Hoà</t>
        </is>
      </c>
      <c r="E16" s="88" t="inlineStr">
        <is>
          <t>SR</t>
        </is>
      </c>
      <c r="F16" s="89" t="n">
        <v>12073650</v>
      </c>
      <c r="G16" s="90">
        <f>SUM(I16:BB16)</f>
        <v/>
      </c>
      <c r="H16" s="91">
        <f>IF(F16&gt;0, G16/F16, 0)</f>
        <v/>
      </c>
      <c r="I16" s="93" t="n">
        <v>0</v>
      </c>
      <c r="J16" s="93" t="n">
        <v>0</v>
      </c>
      <c r="K16" s="93" t="n">
        <v>0</v>
      </c>
      <c r="L16" s="93" t="n">
        <v>0</v>
      </c>
      <c r="M16" s="93" t="n">
        <v>0</v>
      </c>
      <c r="N16" s="92" t="n">
        <v>435600</v>
      </c>
      <c r="O16" s="101" t="n">
        <v>445500</v>
      </c>
      <c r="P16" s="93" t="n">
        <v>0</v>
      </c>
      <c r="Q16" s="101" t="n">
        <v>162600</v>
      </c>
      <c r="R16" s="93" t="n">
        <v>0</v>
      </c>
      <c r="S16" s="93" t="n">
        <v>0</v>
      </c>
      <c r="T16" s="101" t="n">
        <v>162600</v>
      </c>
      <c r="U16" s="94" t="n">
        <v>285600</v>
      </c>
      <c r="V16" s="93" t="n">
        <v>0</v>
      </c>
      <c r="W16" s="94" t="n">
        <v>343200</v>
      </c>
      <c r="X16" s="94" t="n">
        <v>95400</v>
      </c>
      <c r="Y16" s="94" t="n">
        <v>190800</v>
      </c>
      <c r="Z16" s="94" t="n">
        <v>142800</v>
      </c>
      <c r="AA16" s="93" t="n">
        <v>0</v>
      </c>
      <c r="AB16" s="93" t="n">
        <v>0</v>
      </c>
      <c r="AC16" s="94" t="n">
        <v>180000</v>
      </c>
      <c r="AD16" s="95" t="n">
        <v>510000</v>
      </c>
      <c r="AE16" s="95" t="n">
        <v>230400</v>
      </c>
      <c r="AF16" s="95" t="n">
        <v>212400</v>
      </c>
      <c r="AG16" s="95" t="n">
        <v>127500</v>
      </c>
      <c r="AH16" s="93" t="n">
        <v>0</v>
      </c>
      <c r="AI16" s="96" t="n">
        <v>221100</v>
      </c>
      <c r="AJ16" s="93" t="n">
        <v>0</v>
      </c>
      <c r="AK16" s="96" t="n">
        <v>221100</v>
      </c>
      <c r="AL16" s="93" t="n">
        <v>0</v>
      </c>
      <c r="AM16" s="93" t="n">
        <v>0</v>
      </c>
      <c r="AN16" s="93" t="n">
        <v>0</v>
      </c>
      <c r="AO16" s="93" t="n">
        <v>0</v>
      </c>
      <c r="AP16" s="93" t="n">
        <v>0</v>
      </c>
      <c r="AQ16" s="96" t="n">
        <v>204000</v>
      </c>
      <c r="AR16" s="93" t="n">
        <v>0</v>
      </c>
      <c r="AS16" s="97" t="n">
        <v>270000</v>
      </c>
      <c r="AT16" s="93" t="n">
        <v>0</v>
      </c>
      <c r="AU16" s="93" t="n">
        <v>0</v>
      </c>
      <c r="AV16" s="93" t="n">
        <v>0</v>
      </c>
      <c r="AW16" s="93" t="n">
        <v>0</v>
      </c>
      <c r="AX16" s="93" t="n">
        <v>0</v>
      </c>
      <c r="AY16" s="93" t="n">
        <v>0</v>
      </c>
      <c r="AZ16" s="93" t="n">
        <v>0</v>
      </c>
      <c r="BA16" s="97" t="n">
        <v>216000</v>
      </c>
      <c r="BB16" s="97" t="n">
        <v>129900</v>
      </c>
    </row>
    <row r="17" ht="20" customHeight="1">
      <c r="A17" s="98" t="inlineStr">
        <is>
          <t>166, Trần Văn Ơn, , P.Phú Lợi, Hồ Chí Minh</t>
        </is>
      </c>
      <c r="B17" s="99" t="inlineStr">
        <is>
          <t>ST00_CVS_FM</t>
        </is>
      </c>
      <c r="C17" s="99" t="inlineStr">
        <is>
          <t>ST-02L-3011</t>
        </is>
      </c>
      <c r="D17" s="98" t="inlineStr">
        <is>
          <t>Nguyễn Đức Hoà</t>
        </is>
      </c>
      <c r="E17" s="99" t="inlineStr">
        <is>
          <t>SR</t>
        </is>
      </c>
      <c r="F17" s="89" t="n">
        <v>6569600</v>
      </c>
      <c r="G17" s="90">
        <f>SUM(I17:BB17)</f>
        <v/>
      </c>
      <c r="H17" s="91">
        <f>IF(F17&gt;0, G17/F17, 0)</f>
        <v/>
      </c>
      <c r="I17" s="100" t="n">
        <v>0</v>
      </c>
      <c r="J17" s="100" t="n">
        <v>0</v>
      </c>
      <c r="K17" s="100" t="n">
        <v>0</v>
      </c>
      <c r="L17" s="100" t="n">
        <v>0</v>
      </c>
      <c r="M17" s="100" t="n">
        <v>0</v>
      </c>
      <c r="N17" s="100" t="n">
        <v>0</v>
      </c>
      <c r="O17" s="101" t="n">
        <v>445500</v>
      </c>
      <c r="P17" s="101" t="n">
        <v>445500</v>
      </c>
      <c r="Q17" s="101" t="n">
        <v>162600</v>
      </c>
      <c r="R17" s="101" t="n">
        <v>158400</v>
      </c>
      <c r="S17" s="100" t="n">
        <v>0</v>
      </c>
      <c r="T17" s="100" t="n">
        <v>0</v>
      </c>
      <c r="U17" s="94" t="n">
        <v>142800</v>
      </c>
      <c r="V17" s="94" t="n">
        <v>142800</v>
      </c>
      <c r="W17" s="94" t="n">
        <v>171600</v>
      </c>
      <c r="X17" s="94" t="n">
        <v>95400</v>
      </c>
      <c r="Y17" s="94" t="n">
        <v>95400</v>
      </c>
      <c r="Z17" s="94" t="n">
        <v>142800</v>
      </c>
      <c r="AA17" s="100" t="n">
        <v>0</v>
      </c>
      <c r="AB17" s="100" t="n">
        <v>0</v>
      </c>
      <c r="AC17" s="100" t="n">
        <v>0</v>
      </c>
      <c r="AD17" s="95" t="n">
        <v>318750</v>
      </c>
      <c r="AE17" s="100" t="n">
        <v>0</v>
      </c>
      <c r="AF17" s="100" t="n">
        <v>0</v>
      </c>
      <c r="AG17" s="100" t="n">
        <v>0</v>
      </c>
      <c r="AH17" s="100" t="n">
        <v>0</v>
      </c>
      <c r="AI17" s="100" t="n">
        <v>0</v>
      </c>
      <c r="AJ17" s="100" t="n">
        <v>0</v>
      </c>
      <c r="AK17" s="100" t="n">
        <v>0</v>
      </c>
      <c r="AL17" s="100" t="n">
        <v>0</v>
      </c>
      <c r="AM17" s="100" t="n">
        <v>0</v>
      </c>
      <c r="AN17" s="100" t="n">
        <v>0</v>
      </c>
      <c r="AO17" s="100" t="n">
        <v>0</v>
      </c>
      <c r="AP17" s="100" t="n">
        <v>0</v>
      </c>
      <c r="AQ17" s="96" t="n">
        <v>204000</v>
      </c>
      <c r="AR17" s="100" t="n">
        <v>0</v>
      </c>
      <c r="AS17" s="97" t="n">
        <v>270000</v>
      </c>
      <c r="AT17" s="100" t="n">
        <v>0</v>
      </c>
      <c r="AU17" s="100" t="n">
        <v>0</v>
      </c>
      <c r="AV17" s="100" t="n">
        <v>0</v>
      </c>
      <c r="AW17" s="100" t="n">
        <v>0</v>
      </c>
      <c r="AX17" s="100" t="n">
        <v>0</v>
      </c>
      <c r="AY17" s="100" t="n">
        <v>0</v>
      </c>
      <c r="AZ17" s="100" t="n">
        <v>0</v>
      </c>
      <c r="BA17" s="100" t="n">
        <v>0</v>
      </c>
      <c r="BB17" s="97" t="n">
        <v>129900</v>
      </c>
    </row>
    <row r="18" ht="20" customHeight="1">
      <c r="A18" s="87" t="inlineStr">
        <is>
          <t>19, Đường TC3-XC2, , P.Bến Cát, Hồ Chí Minh</t>
        </is>
      </c>
      <c r="B18" s="88" t="inlineStr">
        <is>
          <t>ST00_CVS_FM</t>
        </is>
      </c>
      <c r="C18" s="88" t="inlineStr">
        <is>
          <t>ST-02L-3011</t>
        </is>
      </c>
      <c r="D18" s="87" t="inlineStr">
        <is>
          <t>Nguyễn Đức Hoà</t>
        </is>
      </c>
      <c r="E18" s="88" t="inlineStr">
        <is>
          <t>SR</t>
        </is>
      </c>
      <c r="F18" s="89" t="n">
        <v>13829500</v>
      </c>
      <c r="G18" s="90">
        <f>SUM(I18:BB18)</f>
        <v/>
      </c>
      <c r="H18" s="91">
        <f>IF(F18&gt;0, G18/F18, 0)</f>
        <v/>
      </c>
      <c r="I18" s="93" t="n">
        <v>0</v>
      </c>
      <c r="J18" s="93" t="n">
        <v>0</v>
      </c>
      <c r="K18" s="93" t="n">
        <v>0</v>
      </c>
      <c r="L18" s="93" t="n">
        <v>0</v>
      </c>
      <c r="M18" s="93" t="n">
        <v>0</v>
      </c>
      <c r="N18" s="93" t="n">
        <v>0</v>
      </c>
      <c r="O18" s="93" t="n">
        <v>0</v>
      </c>
      <c r="P18" s="93" t="n">
        <v>0</v>
      </c>
      <c r="Q18" s="93" t="n">
        <v>0</v>
      </c>
      <c r="R18" s="93" t="n">
        <v>0</v>
      </c>
      <c r="S18" s="93" t="n">
        <v>0</v>
      </c>
      <c r="T18" s="93" t="n">
        <v>0</v>
      </c>
      <c r="U18" s="94" t="n">
        <v>142800</v>
      </c>
      <c r="V18" s="94" t="n">
        <v>142800</v>
      </c>
      <c r="W18" s="93" t="n">
        <v>0</v>
      </c>
      <c r="X18" s="93" t="n">
        <v>0</v>
      </c>
      <c r="Y18" s="94" t="n">
        <v>95400</v>
      </c>
      <c r="Z18" s="93" t="n">
        <v>0</v>
      </c>
      <c r="AA18" s="94" t="n">
        <v>180000</v>
      </c>
      <c r="AB18" s="93" t="n">
        <v>0</v>
      </c>
      <c r="AC18" s="93" t="n">
        <v>0</v>
      </c>
      <c r="AD18" s="95" t="n">
        <v>318750</v>
      </c>
      <c r="AE18" s="93" t="n">
        <v>0</v>
      </c>
      <c r="AF18" s="93" t="n">
        <v>0</v>
      </c>
      <c r="AG18" s="95" t="n">
        <v>127500</v>
      </c>
      <c r="AH18" s="93" t="n">
        <v>0</v>
      </c>
      <c r="AI18" s="96" t="n">
        <v>221100</v>
      </c>
      <c r="AJ18" s="96" t="n">
        <v>204000</v>
      </c>
      <c r="AK18" s="96" t="n">
        <v>221100</v>
      </c>
      <c r="AL18" s="93" t="n">
        <v>0</v>
      </c>
      <c r="AM18" s="93" t="n">
        <v>0</v>
      </c>
      <c r="AN18" s="93" t="n">
        <v>0</v>
      </c>
      <c r="AO18" s="93" t="n">
        <v>0</v>
      </c>
      <c r="AP18" s="96" t="n">
        <v>196800</v>
      </c>
      <c r="AQ18" s="96" t="n">
        <v>204000</v>
      </c>
      <c r="AR18" s="93" t="n">
        <v>0</v>
      </c>
      <c r="AS18" s="97" t="n">
        <v>405000</v>
      </c>
      <c r="AT18" s="93" t="n">
        <v>0</v>
      </c>
      <c r="AU18" s="93" t="n">
        <v>0</v>
      </c>
      <c r="AV18" s="93" t="n">
        <v>0</v>
      </c>
      <c r="AW18" s="93" t="n">
        <v>0</v>
      </c>
      <c r="AX18" s="93" t="n">
        <v>0</v>
      </c>
      <c r="AY18" s="93" t="n">
        <v>0</v>
      </c>
      <c r="AZ18" s="93" t="n">
        <v>0</v>
      </c>
      <c r="BA18" s="93" t="n">
        <v>0</v>
      </c>
      <c r="BB18" s="93" t="n">
        <v>0</v>
      </c>
    </row>
    <row r="19" ht="20" customHeight="1">
      <c r="A19" s="98" t="inlineStr">
        <is>
          <t>239, Hoàng Văn Thụ, , P.Thủ Dầu Một, Hồ Chí Minh</t>
        </is>
      </c>
      <c r="B19" s="99" t="inlineStr">
        <is>
          <t>ST00_CVS_FM</t>
        </is>
      </c>
      <c r="C19" s="99" t="inlineStr">
        <is>
          <t>ST-02L-3011</t>
        </is>
      </c>
      <c r="D19" s="98" t="inlineStr">
        <is>
          <t>Nguyễn Đức Hoà</t>
        </is>
      </c>
      <c r="E19" s="99" t="inlineStr">
        <is>
          <t>SR</t>
        </is>
      </c>
      <c r="F19" s="89" t="n">
        <v>9678900</v>
      </c>
      <c r="G19" s="90">
        <f>SUM(I19:BB19)</f>
        <v/>
      </c>
      <c r="H19" s="91">
        <f>IF(F19&gt;0, G19/F19, 0)</f>
        <v/>
      </c>
      <c r="I19" s="100" t="n">
        <v>0</v>
      </c>
      <c r="J19" s="100" t="n">
        <v>0</v>
      </c>
      <c r="K19" s="100" t="n">
        <v>0</v>
      </c>
      <c r="L19" s="100" t="n">
        <v>0</v>
      </c>
      <c r="M19" s="100" t="n">
        <v>0</v>
      </c>
      <c r="N19" s="92" t="n">
        <v>290400</v>
      </c>
      <c r="O19" s="100" t="n">
        <v>0</v>
      </c>
      <c r="P19" s="100" t="n">
        <v>0</v>
      </c>
      <c r="Q19" s="100" t="n">
        <v>0</v>
      </c>
      <c r="R19" s="100" t="n">
        <v>0</v>
      </c>
      <c r="S19" s="100" t="n">
        <v>0</v>
      </c>
      <c r="T19" s="100" t="n">
        <v>0</v>
      </c>
      <c r="U19" s="94" t="n">
        <v>142800</v>
      </c>
      <c r="V19" s="94" t="n">
        <v>285600</v>
      </c>
      <c r="W19" s="100" t="n">
        <v>0</v>
      </c>
      <c r="X19" s="94" t="n">
        <v>95400</v>
      </c>
      <c r="Y19" s="94" t="n">
        <v>190800</v>
      </c>
      <c r="Z19" s="100" t="n">
        <v>0</v>
      </c>
      <c r="AA19" s="94" t="n">
        <v>180000</v>
      </c>
      <c r="AB19" s="94" t="n">
        <v>277200</v>
      </c>
      <c r="AC19" s="100" t="n">
        <v>0</v>
      </c>
      <c r="AD19" s="95" t="n">
        <v>127500</v>
      </c>
      <c r="AE19" s="95" t="n">
        <v>460800</v>
      </c>
      <c r="AF19" s="95" t="n">
        <v>212400</v>
      </c>
      <c r="AG19" s="95" t="n">
        <v>127500</v>
      </c>
      <c r="AH19" s="100" t="n">
        <v>0</v>
      </c>
      <c r="AI19" s="96" t="n">
        <v>442200</v>
      </c>
      <c r="AJ19" s="96" t="n">
        <v>204000</v>
      </c>
      <c r="AK19" s="96" t="n">
        <v>221100</v>
      </c>
      <c r="AL19" s="100" t="n">
        <v>0</v>
      </c>
      <c r="AM19" s="100" t="n">
        <v>0</v>
      </c>
      <c r="AN19" s="100" t="n">
        <v>0</v>
      </c>
      <c r="AO19" s="100" t="n">
        <v>0</v>
      </c>
      <c r="AP19" s="96" t="n">
        <v>196800</v>
      </c>
      <c r="AQ19" s="96" t="n">
        <v>204000</v>
      </c>
      <c r="AR19" s="100" t="n">
        <v>0</v>
      </c>
      <c r="AS19" s="97" t="n">
        <v>135000</v>
      </c>
      <c r="AT19" s="100" t="n">
        <v>0</v>
      </c>
      <c r="AU19" s="100" t="n">
        <v>0</v>
      </c>
      <c r="AV19" s="100" t="n">
        <v>0</v>
      </c>
      <c r="AW19" s="100" t="n">
        <v>0</v>
      </c>
      <c r="AX19" s="100" t="n">
        <v>0</v>
      </c>
      <c r="AY19" s="100" t="n">
        <v>0</v>
      </c>
      <c r="AZ19" s="100" t="n">
        <v>0</v>
      </c>
      <c r="BA19" s="100" t="n">
        <v>0</v>
      </c>
      <c r="BB19" s="100" t="n">
        <v>0</v>
      </c>
    </row>
    <row r="20" ht="20" customHeight="1">
      <c r="A20" s="87" t="inlineStr">
        <is>
          <t>26/13, 1, KP Hòa Long, , P.Bình Hòa, Hồ Chí Minh</t>
        </is>
      </c>
      <c r="B20" s="88" t="inlineStr">
        <is>
          <t>ST00_CVS_FM</t>
        </is>
      </c>
      <c r="C20" s="88" t="inlineStr">
        <is>
          <t>ST-02L-3011</t>
        </is>
      </c>
      <c r="D20" s="87" t="inlineStr">
        <is>
          <t>Nguyễn Đức Hoà</t>
        </is>
      </c>
      <c r="E20" s="88" t="inlineStr">
        <is>
          <t>SR</t>
        </is>
      </c>
      <c r="F20" s="89" t="n">
        <v>5523600</v>
      </c>
      <c r="G20" s="90">
        <f>SUM(I20:BB20)</f>
        <v/>
      </c>
      <c r="H20" s="91">
        <f>IF(F20&gt;0, G20/F20, 0)</f>
        <v/>
      </c>
      <c r="I20" s="92" t="n">
        <v>261600</v>
      </c>
      <c r="J20" s="93" t="n">
        <v>0</v>
      </c>
      <c r="K20" s="93" t="n">
        <v>0</v>
      </c>
      <c r="L20" s="93" t="n">
        <v>0</v>
      </c>
      <c r="M20" s="93" t="n">
        <v>0</v>
      </c>
      <c r="N20" s="92" t="n">
        <v>145200</v>
      </c>
      <c r="O20" s="93" t="n">
        <v>0</v>
      </c>
      <c r="P20" s="93" t="n">
        <v>0</v>
      </c>
      <c r="Q20" s="93" t="n">
        <v>0</v>
      </c>
      <c r="R20" s="93" t="n">
        <v>0</v>
      </c>
      <c r="S20" s="93" t="n">
        <v>0</v>
      </c>
      <c r="T20" s="93" t="n">
        <v>0</v>
      </c>
      <c r="U20" s="94" t="n">
        <v>142800</v>
      </c>
      <c r="V20" s="94" t="n">
        <v>142800</v>
      </c>
      <c r="W20" s="93" t="n">
        <v>0</v>
      </c>
      <c r="X20" s="94" t="n">
        <v>95400</v>
      </c>
      <c r="Y20" s="94" t="n">
        <v>95400</v>
      </c>
      <c r="Z20" s="93" t="n">
        <v>0</v>
      </c>
      <c r="AA20" s="93" t="n">
        <v>0</v>
      </c>
      <c r="AB20" s="93" t="n">
        <v>0</v>
      </c>
      <c r="AC20" s="93" t="n">
        <v>0</v>
      </c>
      <c r="AD20" s="93" t="n">
        <v>0</v>
      </c>
      <c r="AE20" s="95" t="n">
        <v>230400</v>
      </c>
      <c r="AF20" s="93" t="n">
        <v>0</v>
      </c>
      <c r="AG20" s="93" t="n">
        <v>0</v>
      </c>
      <c r="AH20" s="93" t="n">
        <v>0</v>
      </c>
      <c r="AI20" s="93" t="n">
        <v>0</v>
      </c>
      <c r="AJ20" s="93" t="n">
        <v>0</v>
      </c>
      <c r="AK20" s="93" t="n">
        <v>0</v>
      </c>
      <c r="AL20" s="93" t="n">
        <v>0</v>
      </c>
      <c r="AM20" s="93" t="n">
        <v>0</v>
      </c>
      <c r="AN20" s="93" t="n">
        <v>0</v>
      </c>
      <c r="AO20" s="93" t="n">
        <v>0</v>
      </c>
      <c r="AP20" s="93" t="n">
        <v>0</v>
      </c>
      <c r="AQ20" s="93" t="n">
        <v>0</v>
      </c>
      <c r="AR20" s="93" t="n">
        <v>0</v>
      </c>
      <c r="AS20" s="97" t="n">
        <v>135000</v>
      </c>
      <c r="AT20" s="93" t="n">
        <v>0</v>
      </c>
      <c r="AU20" s="93" t="n">
        <v>0</v>
      </c>
      <c r="AV20" s="93" t="n">
        <v>0</v>
      </c>
      <c r="AW20" s="93" t="n">
        <v>0</v>
      </c>
      <c r="AX20" s="93" t="n">
        <v>0</v>
      </c>
      <c r="AY20" s="93" t="n">
        <v>0</v>
      </c>
      <c r="AZ20" s="93" t="n">
        <v>0</v>
      </c>
      <c r="BA20" s="93" t="n">
        <v>0</v>
      </c>
      <c r="BB20" s="93" t="n">
        <v>0</v>
      </c>
    </row>
    <row r="21" ht="20" customHeight="1">
      <c r="A21" s="98" t="inlineStr">
        <is>
          <t>29-33, Trần Hưng Đạo, , P.Thủ Dầu Một, Hồ Chí Minh</t>
        </is>
      </c>
      <c r="B21" s="99" t="inlineStr">
        <is>
          <t>ST00_CVS_FM</t>
        </is>
      </c>
      <c r="C21" s="99" t="inlineStr">
        <is>
          <t>ST-02L-3011</t>
        </is>
      </c>
      <c r="D21" s="98" t="inlineStr">
        <is>
          <t>Nguyễn Đức Hoà</t>
        </is>
      </c>
      <c r="E21" s="99" t="inlineStr">
        <is>
          <t>SR</t>
        </is>
      </c>
      <c r="F21" s="89" t="n">
        <v>13829500</v>
      </c>
      <c r="G21" s="90">
        <f>SUM(I21:BB21)</f>
        <v/>
      </c>
      <c r="H21" s="91">
        <f>IF(F21&gt;0, G21/F21, 0)</f>
        <v/>
      </c>
      <c r="I21" s="100" t="n">
        <v>0</v>
      </c>
      <c r="J21" s="100" t="n">
        <v>0</v>
      </c>
      <c r="K21" s="100" t="n">
        <v>0</v>
      </c>
      <c r="L21" s="100" t="n">
        <v>0</v>
      </c>
      <c r="M21" s="100" t="n">
        <v>0</v>
      </c>
      <c r="N21" s="92" t="n">
        <v>145200</v>
      </c>
      <c r="O21" s="100" t="n">
        <v>0</v>
      </c>
      <c r="P21" s="100" t="n">
        <v>0</v>
      </c>
      <c r="Q21" s="100" t="n">
        <v>0</v>
      </c>
      <c r="R21" s="100" t="n">
        <v>0</v>
      </c>
      <c r="S21" s="100" t="n">
        <v>0</v>
      </c>
      <c r="T21" s="100" t="n">
        <v>0</v>
      </c>
      <c r="U21" s="100" t="n">
        <v>0</v>
      </c>
      <c r="V21" s="100" t="n">
        <v>0</v>
      </c>
      <c r="W21" s="100" t="n">
        <v>0</v>
      </c>
      <c r="X21" s="94" t="n">
        <v>95400</v>
      </c>
      <c r="Y21" s="94" t="n">
        <v>95400</v>
      </c>
      <c r="Z21" s="100" t="n">
        <v>0</v>
      </c>
      <c r="AA21" s="100" t="n">
        <v>0</v>
      </c>
      <c r="AB21" s="94" t="n">
        <v>138600</v>
      </c>
      <c r="AC21" s="94" t="n">
        <v>180000</v>
      </c>
      <c r="AD21" s="95" t="n">
        <v>191250</v>
      </c>
      <c r="AE21" s="100" t="n">
        <v>0</v>
      </c>
      <c r="AF21" s="100" t="n">
        <v>0</v>
      </c>
      <c r="AG21" s="100" t="n">
        <v>0</v>
      </c>
      <c r="AH21" s="100" t="n">
        <v>0</v>
      </c>
      <c r="AI21" s="96" t="n">
        <v>442200</v>
      </c>
      <c r="AJ21" s="100" t="n">
        <v>0</v>
      </c>
      <c r="AK21" s="100" t="n">
        <v>0</v>
      </c>
      <c r="AL21" s="100" t="n">
        <v>0</v>
      </c>
      <c r="AM21" s="100" t="n">
        <v>0</v>
      </c>
      <c r="AN21" s="100" t="n">
        <v>0</v>
      </c>
      <c r="AO21" s="100" t="n">
        <v>0</v>
      </c>
      <c r="AP21" s="100" t="n">
        <v>0</v>
      </c>
      <c r="AQ21" s="100" t="n">
        <v>0</v>
      </c>
      <c r="AR21" s="100" t="n">
        <v>0</v>
      </c>
      <c r="AS21" s="97" t="n">
        <v>135000</v>
      </c>
      <c r="AT21" s="100" t="n">
        <v>0</v>
      </c>
      <c r="AU21" s="100" t="n">
        <v>0</v>
      </c>
      <c r="AV21" s="100" t="n">
        <v>0</v>
      </c>
      <c r="AW21" s="100" t="n">
        <v>0</v>
      </c>
      <c r="AX21" s="100" t="n">
        <v>0</v>
      </c>
      <c r="AY21" s="100" t="n">
        <v>0</v>
      </c>
      <c r="AZ21" s="100" t="n">
        <v>0</v>
      </c>
      <c r="BA21" s="100" t="n">
        <v>0</v>
      </c>
      <c r="BB21" s="100" t="n">
        <v>0</v>
      </c>
    </row>
    <row r="22" ht="20" customHeight="1">
      <c r="A22" s="87" t="inlineStr">
        <is>
          <t>30/3, Nguyễn Văn Tiết, , P.Lái Thiêu, Hồ Chí Minh</t>
        </is>
      </c>
      <c r="B22" s="88" t="inlineStr">
        <is>
          <t>ST00_CVS_FM</t>
        </is>
      </c>
      <c r="C22" s="88" t="inlineStr">
        <is>
          <t>ST-02L-3011</t>
        </is>
      </c>
      <c r="D22" s="87" t="inlineStr">
        <is>
          <t>Nguyễn Đức Hoà</t>
        </is>
      </c>
      <c r="E22" s="88" t="inlineStr">
        <is>
          <t>SR</t>
        </is>
      </c>
      <c r="F22" s="89" t="n">
        <v>3859200</v>
      </c>
      <c r="G22" s="90">
        <f>SUM(I22:BB22)</f>
        <v/>
      </c>
      <c r="H22" s="91">
        <f>IF(F22&gt;0, G22/F22, 0)</f>
        <v/>
      </c>
      <c r="I22" s="92" t="n">
        <v>261600</v>
      </c>
      <c r="J22" s="93" t="n">
        <v>0</v>
      </c>
      <c r="K22" s="93" t="n">
        <v>0</v>
      </c>
      <c r="L22" s="93" t="n">
        <v>0</v>
      </c>
      <c r="M22" s="93" t="n">
        <v>0</v>
      </c>
      <c r="N22" s="93" t="n">
        <v>0</v>
      </c>
      <c r="O22" s="93" t="n">
        <v>0</v>
      </c>
      <c r="P22" s="93" t="n">
        <v>0</v>
      </c>
      <c r="Q22" s="93" t="n">
        <v>0</v>
      </c>
      <c r="R22" s="93" t="n">
        <v>0</v>
      </c>
      <c r="S22" s="93" t="n">
        <v>0</v>
      </c>
      <c r="T22" s="93" t="n">
        <v>0</v>
      </c>
      <c r="U22" s="93" t="n">
        <v>0</v>
      </c>
      <c r="V22" s="93" t="n">
        <v>0</v>
      </c>
      <c r="W22" s="93" t="n">
        <v>0</v>
      </c>
      <c r="X22" s="94" t="n">
        <v>190800</v>
      </c>
      <c r="Y22" s="94" t="n">
        <v>95400</v>
      </c>
      <c r="Z22" s="94" t="n">
        <v>142800</v>
      </c>
      <c r="AA22" s="93" t="n">
        <v>0</v>
      </c>
      <c r="AB22" s="93" t="n">
        <v>0</v>
      </c>
      <c r="AC22" s="93" t="n">
        <v>0</v>
      </c>
      <c r="AD22" s="93" t="n">
        <v>0</v>
      </c>
      <c r="AE22" s="93" t="n">
        <v>0</v>
      </c>
      <c r="AF22" s="93" t="n">
        <v>0</v>
      </c>
      <c r="AG22" s="93" t="n">
        <v>0</v>
      </c>
      <c r="AH22" s="93" t="n">
        <v>0</v>
      </c>
      <c r="AI22" s="93" t="n">
        <v>0</v>
      </c>
      <c r="AJ22" s="93" t="n">
        <v>0</v>
      </c>
      <c r="AK22" s="93" t="n">
        <v>0</v>
      </c>
      <c r="AL22" s="93" t="n">
        <v>0</v>
      </c>
      <c r="AM22" s="93" t="n">
        <v>0</v>
      </c>
      <c r="AN22" s="93" t="n">
        <v>0</v>
      </c>
      <c r="AO22" s="93" t="n">
        <v>0</v>
      </c>
      <c r="AP22" s="93" t="n">
        <v>0</v>
      </c>
      <c r="AQ22" s="93" t="n">
        <v>0</v>
      </c>
      <c r="AR22" s="93" t="n">
        <v>0</v>
      </c>
      <c r="AS22" s="97" t="n">
        <v>135000</v>
      </c>
      <c r="AT22" s="93" t="n">
        <v>0</v>
      </c>
      <c r="AU22" s="93" t="n">
        <v>0</v>
      </c>
      <c r="AV22" s="93" t="n">
        <v>0</v>
      </c>
      <c r="AW22" s="93" t="n">
        <v>0</v>
      </c>
      <c r="AX22" s="93" t="n">
        <v>0</v>
      </c>
      <c r="AY22" s="93" t="n">
        <v>0</v>
      </c>
      <c r="AZ22" s="93" t="n">
        <v>0</v>
      </c>
      <c r="BA22" s="93" t="n">
        <v>0</v>
      </c>
      <c r="BB22" s="93" t="n">
        <v>0</v>
      </c>
    </row>
    <row r="23" ht="20" customHeight="1">
      <c r="A23" s="98" t="inlineStr">
        <is>
          <t>7, Phú Lợi, , P.Phú Lợi, Hồ Chí Minh</t>
        </is>
      </c>
      <c r="B23" s="99" t="inlineStr">
        <is>
          <t>ST00_CVS_FM</t>
        </is>
      </c>
      <c r="C23" s="99" t="inlineStr">
        <is>
          <t>ST-02L-3011</t>
        </is>
      </c>
      <c r="D23" s="98" t="inlineStr">
        <is>
          <t>Nguyễn Đức Hoà</t>
        </is>
      </c>
      <c r="E23" s="99" t="inlineStr">
        <is>
          <t>SR</t>
        </is>
      </c>
      <c r="F23" s="89" t="n">
        <v>3651900</v>
      </c>
      <c r="G23" s="90">
        <f>SUM(I23:BB23)</f>
        <v/>
      </c>
      <c r="H23" s="91">
        <f>IF(F23&gt;0, G23/F23, 0)</f>
        <v/>
      </c>
      <c r="I23" s="100" t="n">
        <v>0</v>
      </c>
      <c r="J23" s="100" t="n">
        <v>0</v>
      </c>
      <c r="K23" s="100" t="n">
        <v>0</v>
      </c>
      <c r="L23" s="100" t="n">
        <v>0</v>
      </c>
      <c r="M23" s="100" t="n">
        <v>0</v>
      </c>
      <c r="N23" s="100" t="n">
        <v>0</v>
      </c>
      <c r="O23" s="100" t="n">
        <v>0</v>
      </c>
      <c r="P23" s="101" t="n">
        <v>445500</v>
      </c>
      <c r="Q23" s="100" t="n">
        <v>0</v>
      </c>
      <c r="R23" s="100" t="n">
        <v>0</v>
      </c>
      <c r="S23" s="100" t="n">
        <v>0</v>
      </c>
      <c r="T23" s="100" t="n">
        <v>0</v>
      </c>
      <c r="U23" s="94" t="n">
        <v>142800</v>
      </c>
      <c r="V23" s="100" t="n">
        <v>0</v>
      </c>
      <c r="W23" s="94" t="n">
        <v>171600</v>
      </c>
      <c r="X23" s="94" t="n">
        <v>95400</v>
      </c>
      <c r="Y23" s="94" t="n">
        <v>286200</v>
      </c>
      <c r="Z23" s="100" t="n">
        <v>0</v>
      </c>
      <c r="AA23" s="100" t="n">
        <v>0</v>
      </c>
      <c r="AB23" s="100" t="n">
        <v>0</v>
      </c>
      <c r="AC23" s="100" t="n">
        <v>0</v>
      </c>
      <c r="AD23" s="95" t="n">
        <v>318750</v>
      </c>
      <c r="AE23" s="100" t="n">
        <v>0</v>
      </c>
      <c r="AF23" s="100" t="n">
        <v>0</v>
      </c>
      <c r="AG23" s="100" t="n">
        <v>0</v>
      </c>
      <c r="AH23" s="100" t="n">
        <v>0</v>
      </c>
      <c r="AI23" s="96" t="n">
        <v>221100</v>
      </c>
      <c r="AJ23" s="100" t="n">
        <v>0</v>
      </c>
      <c r="AK23" s="100" t="n">
        <v>0</v>
      </c>
      <c r="AL23" s="100" t="n">
        <v>0</v>
      </c>
      <c r="AM23" s="100" t="n">
        <v>0</v>
      </c>
      <c r="AN23" s="100" t="n">
        <v>0</v>
      </c>
      <c r="AO23" s="100" t="n">
        <v>0</v>
      </c>
      <c r="AP23" s="100" t="n">
        <v>0</v>
      </c>
      <c r="AQ23" s="100" t="n">
        <v>0</v>
      </c>
      <c r="AR23" s="100" t="n">
        <v>0</v>
      </c>
      <c r="AS23" s="100" t="n">
        <v>0</v>
      </c>
      <c r="AT23" s="100" t="n">
        <v>0</v>
      </c>
      <c r="AU23" s="100" t="n">
        <v>0</v>
      </c>
      <c r="AV23" s="100" t="n">
        <v>0</v>
      </c>
      <c r="AW23" s="100" t="n">
        <v>0</v>
      </c>
      <c r="AX23" s="100" t="n">
        <v>0</v>
      </c>
      <c r="AY23" s="100" t="n">
        <v>0</v>
      </c>
      <c r="AZ23" s="100" t="n">
        <v>0</v>
      </c>
      <c r="BA23" s="100" t="n">
        <v>0</v>
      </c>
      <c r="BB23" s="100" t="n">
        <v>0</v>
      </c>
    </row>
    <row r="24" ht="20" customHeight="1">
      <c r="A24" s="87" t="inlineStr">
        <is>
          <t>B2,, Đường Hùng Vương, , P.Bình Dương, Hồ Chí Minh</t>
        </is>
      </c>
      <c r="B24" s="88" t="inlineStr">
        <is>
          <t>ST00_CVS_FM</t>
        </is>
      </c>
      <c r="C24" s="88" t="inlineStr">
        <is>
          <t>ST-02L-3011</t>
        </is>
      </c>
      <c r="D24" s="87" t="inlineStr">
        <is>
          <t>Nguyễn Đức Hoà</t>
        </is>
      </c>
      <c r="E24" s="88" t="inlineStr">
        <is>
          <t>SR</t>
        </is>
      </c>
      <c r="F24" s="89" t="n">
        <v>1725000</v>
      </c>
      <c r="G24" s="90">
        <f>SUM(I24:BB24)</f>
        <v/>
      </c>
      <c r="H24" s="91">
        <f>IF(F24&gt;0, G24/F24, 0)</f>
        <v/>
      </c>
      <c r="I24" s="92" t="n">
        <v>523200</v>
      </c>
      <c r="J24" s="93" t="n">
        <v>0</v>
      </c>
      <c r="K24" s="93" t="n">
        <v>0</v>
      </c>
      <c r="L24" s="93" t="n">
        <v>0</v>
      </c>
      <c r="M24" s="93" t="n">
        <v>0</v>
      </c>
      <c r="N24" s="92" t="n">
        <v>145200</v>
      </c>
      <c r="O24" s="93" t="n">
        <v>0</v>
      </c>
      <c r="P24" s="93" t="n">
        <v>0</v>
      </c>
      <c r="Q24" s="93" t="n">
        <v>0</v>
      </c>
      <c r="R24" s="93" t="n">
        <v>0</v>
      </c>
      <c r="S24" s="93" t="n">
        <v>0</v>
      </c>
      <c r="T24" s="93" t="n">
        <v>0</v>
      </c>
      <c r="U24" s="94" t="n">
        <v>285600</v>
      </c>
      <c r="V24" s="93" t="n">
        <v>0</v>
      </c>
      <c r="W24" s="94" t="n">
        <v>171600</v>
      </c>
      <c r="X24" s="94" t="n">
        <v>95400</v>
      </c>
      <c r="Y24" s="93" t="n">
        <v>0</v>
      </c>
      <c r="Z24" s="94" t="n">
        <v>142800</v>
      </c>
      <c r="AA24" s="93" t="n">
        <v>0</v>
      </c>
      <c r="AB24" s="93" t="n">
        <v>0</v>
      </c>
      <c r="AC24" s="93" t="n">
        <v>0</v>
      </c>
      <c r="AD24" s="93" t="n">
        <v>0</v>
      </c>
      <c r="AE24" s="93" t="n">
        <v>0</v>
      </c>
      <c r="AF24" s="93" t="n">
        <v>0</v>
      </c>
      <c r="AG24" s="93" t="n">
        <v>0</v>
      </c>
      <c r="AH24" s="93" t="n">
        <v>0</v>
      </c>
      <c r="AI24" s="93" t="n">
        <v>0</v>
      </c>
      <c r="AJ24" s="93" t="n">
        <v>0</v>
      </c>
      <c r="AK24" s="93" t="n">
        <v>0</v>
      </c>
      <c r="AL24" s="93" t="n">
        <v>0</v>
      </c>
      <c r="AM24" s="93" t="n">
        <v>0</v>
      </c>
      <c r="AN24" s="93" t="n">
        <v>0</v>
      </c>
      <c r="AO24" s="93" t="n">
        <v>0</v>
      </c>
      <c r="AP24" s="93" t="n">
        <v>0</v>
      </c>
      <c r="AQ24" s="93" t="n">
        <v>0</v>
      </c>
      <c r="AR24" s="93" t="n">
        <v>0</v>
      </c>
      <c r="AS24" s="93" t="n">
        <v>0</v>
      </c>
      <c r="AT24" s="93" t="n">
        <v>0</v>
      </c>
      <c r="AU24" s="93" t="n">
        <v>0</v>
      </c>
      <c r="AV24" s="93" t="n">
        <v>0</v>
      </c>
      <c r="AW24" s="93" t="n">
        <v>0</v>
      </c>
      <c r="AX24" s="93" t="n">
        <v>0</v>
      </c>
      <c r="AY24" s="93" t="n">
        <v>0</v>
      </c>
      <c r="AZ24" s="93" t="n">
        <v>0</v>
      </c>
      <c r="BA24" s="93" t="n">
        <v>0</v>
      </c>
      <c r="BB24" s="93" t="n">
        <v>0</v>
      </c>
    </row>
    <row r="25" ht="20" customHeight="1">
      <c r="A25" s="98" t="inlineStr">
        <is>
          <t>G05, Tầng trệt, Block CT2, ĐL Bình Dương, KP Hưng Lộc, , P.Thuận An, Hồ Chí Minh</t>
        </is>
      </c>
      <c r="B25" s="99" t="inlineStr">
        <is>
          <t>ST00_CVS_FM</t>
        </is>
      </c>
      <c r="C25" s="99" t="inlineStr">
        <is>
          <t>ST-02L-3011</t>
        </is>
      </c>
      <c r="D25" s="98" t="inlineStr">
        <is>
          <t>Nguyễn Đức Hoà</t>
        </is>
      </c>
      <c r="E25" s="99" t="inlineStr">
        <is>
          <t>SR</t>
        </is>
      </c>
      <c r="F25" s="89" t="n">
        <v>6432600</v>
      </c>
      <c r="G25" s="90">
        <f>SUM(I25:BB25)</f>
        <v/>
      </c>
      <c r="H25" s="91">
        <f>IF(F25&gt;0, G25/F25, 0)</f>
        <v/>
      </c>
      <c r="I25" s="92" t="n">
        <v>261600</v>
      </c>
      <c r="J25" s="100" t="n">
        <v>0</v>
      </c>
      <c r="K25" s="100" t="n">
        <v>0</v>
      </c>
      <c r="L25" s="100" t="n">
        <v>0</v>
      </c>
      <c r="M25" s="100" t="n">
        <v>0</v>
      </c>
      <c r="N25" s="92" t="n">
        <v>145200</v>
      </c>
      <c r="O25" s="100" t="n">
        <v>0</v>
      </c>
      <c r="P25" s="100" t="n">
        <v>0</v>
      </c>
      <c r="Q25" s="100" t="n">
        <v>0</v>
      </c>
      <c r="R25" s="100" t="n">
        <v>0</v>
      </c>
      <c r="S25" s="100" t="n">
        <v>0</v>
      </c>
      <c r="T25" s="100" t="n">
        <v>0</v>
      </c>
      <c r="U25" s="94" t="n">
        <v>142800</v>
      </c>
      <c r="V25" s="94" t="n">
        <v>142800</v>
      </c>
      <c r="W25" s="100" t="n">
        <v>0</v>
      </c>
      <c r="X25" s="94" t="n">
        <v>95400</v>
      </c>
      <c r="Y25" s="100" t="n">
        <v>0</v>
      </c>
      <c r="Z25" s="100" t="n">
        <v>0</v>
      </c>
      <c r="AA25" s="94" t="n">
        <v>180000</v>
      </c>
      <c r="AB25" s="100" t="n">
        <v>0</v>
      </c>
      <c r="AC25" s="100" t="n">
        <v>0</v>
      </c>
      <c r="AD25" s="95" t="n">
        <v>318750</v>
      </c>
      <c r="AE25" s="100" t="n">
        <v>0</v>
      </c>
      <c r="AF25" s="100" t="n">
        <v>0</v>
      </c>
      <c r="AG25" s="100" t="n">
        <v>0</v>
      </c>
      <c r="AH25" s="100" t="n">
        <v>0</v>
      </c>
      <c r="AI25" s="96" t="n">
        <v>442200</v>
      </c>
      <c r="AJ25" s="100" t="n">
        <v>0</v>
      </c>
      <c r="AK25" s="100" t="n">
        <v>0</v>
      </c>
      <c r="AL25" s="100" t="n">
        <v>0</v>
      </c>
      <c r="AM25" s="100" t="n">
        <v>0</v>
      </c>
      <c r="AN25" s="100" t="n">
        <v>0</v>
      </c>
      <c r="AO25" s="100" t="n">
        <v>0</v>
      </c>
      <c r="AP25" s="100" t="n">
        <v>0</v>
      </c>
      <c r="AQ25" s="100" t="n">
        <v>0</v>
      </c>
      <c r="AR25" s="100" t="n">
        <v>0</v>
      </c>
      <c r="AS25" s="97" t="n">
        <v>135000</v>
      </c>
      <c r="AT25" s="100" t="n">
        <v>0</v>
      </c>
      <c r="AU25" s="97" t="n">
        <v>249000</v>
      </c>
      <c r="AV25" s="100" t="n">
        <v>0</v>
      </c>
      <c r="AW25" s="100" t="n">
        <v>0</v>
      </c>
      <c r="AX25" s="100" t="n">
        <v>0</v>
      </c>
      <c r="AY25" s="100" t="n">
        <v>0</v>
      </c>
      <c r="AZ25" s="100" t="n">
        <v>0</v>
      </c>
      <c r="BA25" s="100" t="n">
        <v>0</v>
      </c>
      <c r="BB25" s="100" t="n">
        <v>0</v>
      </c>
    </row>
    <row r="26" ht="20" customHeight="1">
      <c r="A26" s="87" t="inlineStr">
        <is>
          <t>Khu đô thị vườn Tokyu BD, Lô H8,, Đường Tạo Lực 5, H. Phú, , P.Bình Dương, Hồ Chí Minh</t>
        </is>
      </c>
      <c r="B26" s="88" t="inlineStr">
        <is>
          <t>ST00_CVS_FM</t>
        </is>
      </c>
      <c r="C26" s="88" t="inlineStr">
        <is>
          <t>ST-02L-3011</t>
        </is>
      </c>
      <c r="D26" s="87" t="inlineStr">
        <is>
          <t>Nguyễn Đức Hoà</t>
        </is>
      </c>
      <c r="E26" s="88" t="inlineStr">
        <is>
          <t>SR</t>
        </is>
      </c>
      <c r="F26" s="89" t="n">
        <v>13433350</v>
      </c>
      <c r="G26" s="90">
        <f>SUM(I26:BB26)</f>
        <v/>
      </c>
      <c r="H26" s="91">
        <f>IF(F26&gt;0, G26/F26, 0)</f>
        <v/>
      </c>
      <c r="I26" s="92" t="n">
        <v>261600</v>
      </c>
      <c r="J26" s="93" t="n">
        <v>0</v>
      </c>
      <c r="K26" s="93" t="n">
        <v>0</v>
      </c>
      <c r="L26" s="93" t="n">
        <v>0</v>
      </c>
      <c r="M26" s="93" t="n">
        <v>0</v>
      </c>
      <c r="N26" s="93" t="n">
        <v>0</v>
      </c>
      <c r="O26" s="93" t="n">
        <v>0</v>
      </c>
      <c r="P26" s="93" t="n">
        <v>0</v>
      </c>
      <c r="Q26" s="93" t="n">
        <v>0</v>
      </c>
      <c r="R26" s="93" t="n">
        <v>0</v>
      </c>
      <c r="S26" s="93" t="n">
        <v>0</v>
      </c>
      <c r="T26" s="93" t="n">
        <v>0</v>
      </c>
      <c r="U26" s="94" t="n">
        <v>142800</v>
      </c>
      <c r="V26" s="93" t="n">
        <v>0</v>
      </c>
      <c r="W26" s="93" t="n">
        <v>0</v>
      </c>
      <c r="X26" s="94" t="n">
        <v>190800</v>
      </c>
      <c r="Y26" s="94" t="n">
        <v>95400</v>
      </c>
      <c r="Z26" s="94" t="n">
        <v>142800</v>
      </c>
      <c r="AA26" s="94" t="n">
        <v>180000</v>
      </c>
      <c r="AB26" s="93" t="n">
        <v>0</v>
      </c>
      <c r="AC26" s="93" t="n">
        <v>0</v>
      </c>
      <c r="AD26" s="95" t="n">
        <v>191250</v>
      </c>
      <c r="AE26" s="93" t="n">
        <v>0</v>
      </c>
      <c r="AF26" s="93" t="n">
        <v>0</v>
      </c>
      <c r="AG26" s="93" t="n">
        <v>0</v>
      </c>
      <c r="AH26" s="93" t="n">
        <v>0</v>
      </c>
      <c r="AI26" s="96" t="n">
        <v>221100</v>
      </c>
      <c r="AJ26" s="93" t="n">
        <v>0</v>
      </c>
      <c r="AK26" s="93" t="n">
        <v>0</v>
      </c>
      <c r="AL26" s="96" t="n">
        <v>199200</v>
      </c>
      <c r="AM26" s="96" t="n">
        <v>199200</v>
      </c>
      <c r="AN26" s="93" t="n">
        <v>0</v>
      </c>
      <c r="AO26" s="93" t="n">
        <v>0</v>
      </c>
      <c r="AP26" s="93" t="n">
        <v>0</v>
      </c>
      <c r="AQ26" s="96" t="n">
        <v>204000</v>
      </c>
      <c r="AR26" s="93" t="n">
        <v>0</v>
      </c>
      <c r="AS26" s="97" t="n">
        <v>135000</v>
      </c>
      <c r="AT26" s="93" t="n">
        <v>0</v>
      </c>
      <c r="AU26" s="93" t="n">
        <v>0</v>
      </c>
      <c r="AV26" s="93" t="n">
        <v>0</v>
      </c>
      <c r="AW26" s="93" t="n">
        <v>0</v>
      </c>
      <c r="AX26" s="93" t="n">
        <v>0</v>
      </c>
      <c r="AY26" s="93" t="n">
        <v>0</v>
      </c>
      <c r="AZ26" s="93" t="n">
        <v>0</v>
      </c>
      <c r="BA26" s="93" t="n">
        <v>0</v>
      </c>
      <c r="BB26" s="93" t="n">
        <v>0</v>
      </c>
    </row>
    <row r="27" ht="20" customHeight="1">
      <c r="A27" s="98" t="inlineStr">
        <is>
          <t>L6 A11, A12, A16, Lý Thái Tổ, , P.Bình Dương, Hồ Chí Minh</t>
        </is>
      </c>
      <c r="B27" s="99" t="inlineStr">
        <is>
          <t>ST00_CVS_FM</t>
        </is>
      </c>
      <c r="C27" s="99" t="inlineStr">
        <is>
          <t>ST-02L-3011</t>
        </is>
      </c>
      <c r="D27" s="98" t="inlineStr">
        <is>
          <t>Nguyễn Đức Hoà</t>
        </is>
      </c>
      <c r="E27" s="99" t="inlineStr">
        <is>
          <t>SR</t>
        </is>
      </c>
      <c r="F27" s="89" t="n">
        <v>8826000</v>
      </c>
      <c r="G27" s="90">
        <f>SUM(I27:BB27)</f>
        <v/>
      </c>
      <c r="H27" s="91">
        <f>IF(F27&gt;0, G27/F27, 0)</f>
        <v/>
      </c>
      <c r="I27" s="92" t="n">
        <v>261600</v>
      </c>
      <c r="J27" s="92" t="n">
        <v>536400</v>
      </c>
      <c r="K27" s="100" t="n">
        <v>0</v>
      </c>
      <c r="L27" s="100" t="n">
        <v>0</v>
      </c>
      <c r="M27" s="100" t="n">
        <v>0</v>
      </c>
      <c r="N27" s="92" t="n">
        <v>145200</v>
      </c>
      <c r="O27" s="100" t="n">
        <v>0</v>
      </c>
      <c r="P27" s="100" t="n">
        <v>0</v>
      </c>
      <c r="Q27" s="100" t="n">
        <v>0</v>
      </c>
      <c r="R27" s="100" t="n">
        <v>0</v>
      </c>
      <c r="S27" s="100" t="n">
        <v>0</v>
      </c>
      <c r="T27" s="100" t="n">
        <v>0</v>
      </c>
      <c r="U27" s="94" t="n">
        <v>142800</v>
      </c>
      <c r="V27" s="94" t="n">
        <v>142800</v>
      </c>
      <c r="W27" s="94" t="n">
        <v>171600</v>
      </c>
      <c r="X27" s="94" t="n">
        <v>95400</v>
      </c>
      <c r="Y27" s="94" t="n">
        <v>95400</v>
      </c>
      <c r="Z27" s="100" t="n">
        <v>0</v>
      </c>
      <c r="AA27" s="100" t="n">
        <v>0</v>
      </c>
      <c r="AB27" s="100" t="n">
        <v>0</v>
      </c>
      <c r="AC27" s="94" t="n">
        <v>180000</v>
      </c>
      <c r="AD27" s="100" t="n">
        <v>0</v>
      </c>
      <c r="AE27" s="100" t="n">
        <v>0</v>
      </c>
      <c r="AF27" s="100" t="n">
        <v>0</v>
      </c>
      <c r="AG27" s="100" t="n">
        <v>0</v>
      </c>
      <c r="AH27" s="100" t="n">
        <v>0</v>
      </c>
      <c r="AI27" s="96" t="n">
        <v>221100</v>
      </c>
      <c r="AJ27" s="100" t="n">
        <v>0</v>
      </c>
      <c r="AK27" s="100" t="n">
        <v>0</v>
      </c>
      <c r="AL27" s="100" t="n">
        <v>0</v>
      </c>
      <c r="AM27" s="100" t="n">
        <v>0</v>
      </c>
      <c r="AN27" s="100" t="n">
        <v>0</v>
      </c>
      <c r="AO27" s="100" t="n">
        <v>0</v>
      </c>
      <c r="AP27" s="100" t="n">
        <v>0</v>
      </c>
      <c r="AQ27" s="100" t="n">
        <v>0</v>
      </c>
      <c r="AR27" s="100" t="n">
        <v>0</v>
      </c>
      <c r="AS27" s="97" t="n">
        <v>135000</v>
      </c>
      <c r="AT27" s="100" t="n">
        <v>0</v>
      </c>
      <c r="AU27" s="100" t="n">
        <v>0</v>
      </c>
      <c r="AV27" s="100" t="n">
        <v>0</v>
      </c>
      <c r="AW27" s="100" t="n">
        <v>0</v>
      </c>
      <c r="AX27" s="100" t="n">
        <v>0</v>
      </c>
      <c r="AY27" s="97" t="n">
        <v>304800</v>
      </c>
      <c r="AZ27" s="100" t="n">
        <v>0</v>
      </c>
      <c r="BA27" s="100" t="n">
        <v>0</v>
      </c>
      <c r="BB27" s="100" t="n">
        <v>0</v>
      </c>
    </row>
    <row r="28" ht="20" customHeight="1">
      <c r="A28" s="87" t="inlineStr">
        <is>
          <t>Lô C18, Đại lộ Hùng Vương, , P.Bình Dương, Hồ Chí Minh</t>
        </is>
      </c>
      <c r="B28" s="88" t="inlineStr">
        <is>
          <t>ST00_CVS_FM</t>
        </is>
      </c>
      <c r="C28" s="88" t="inlineStr">
        <is>
          <t>ST-02L-3011</t>
        </is>
      </c>
      <c r="D28" s="87" t="inlineStr">
        <is>
          <t>Nguyễn Đức Hoà</t>
        </is>
      </c>
      <c r="E28" s="88" t="inlineStr">
        <is>
          <t>SR</t>
        </is>
      </c>
      <c r="F28" s="89" t="n">
        <v>29534600</v>
      </c>
      <c r="G28" s="90">
        <f>SUM(I28:BB28)</f>
        <v/>
      </c>
      <c r="H28" s="91">
        <f>IF(F28&gt;0, G28/F28, 0)</f>
        <v/>
      </c>
      <c r="I28" s="93" t="n">
        <v>0</v>
      </c>
      <c r="J28" s="93" t="n">
        <v>0</v>
      </c>
      <c r="K28" s="93" t="n">
        <v>0</v>
      </c>
      <c r="L28" s="92" t="n">
        <v>192400</v>
      </c>
      <c r="M28" s="93" t="n">
        <v>0</v>
      </c>
      <c r="N28" s="92" t="n">
        <v>580800</v>
      </c>
      <c r="O28" s="93" t="n">
        <v>0</v>
      </c>
      <c r="P28" s="93" t="n">
        <v>0</v>
      </c>
      <c r="Q28" s="93" t="n">
        <v>0</v>
      </c>
      <c r="R28" s="101" t="n">
        <v>158400</v>
      </c>
      <c r="S28" s="101" t="n">
        <v>222900</v>
      </c>
      <c r="T28" s="93" t="n">
        <v>0</v>
      </c>
      <c r="U28" s="94" t="n">
        <v>571200</v>
      </c>
      <c r="V28" s="94" t="n">
        <v>571200</v>
      </c>
      <c r="W28" s="94" t="n">
        <v>343200</v>
      </c>
      <c r="X28" s="94" t="n">
        <v>286200</v>
      </c>
      <c r="Y28" s="94" t="n">
        <v>286200</v>
      </c>
      <c r="Z28" s="94" t="n">
        <v>285600</v>
      </c>
      <c r="AA28" s="94" t="n">
        <v>180000</v>
      </c>
      <c r="AB28" s="93" t="n">
        <v>0</v>
      </c>
      <c r="AC28" s="93" t="n">
        <v>0</v>
      </c>
      <c r="AD28" s="95" t="n">
        <v>1530000</v>
      </c>
      <c r="AE28" s="95" t="n">
        <v>460800</v>
      </c>
      <c r="AF28" s="95" t="n">
        <v>424800</v>
      </c>
      <c r="AG28" s="95" t="n">
        <v>255000</v>
      </c>
      <c r="AH28" s="93" t="n">
        <v>0</v>
      </c>
      <c r="AI28" s="96" t="n">
        <v>663300</v>
      </c>
      <c r="AJ28" s="93" t="n">
        <v>0</v>
      </c>
      <c r="AK28" s="96" t="n">
        <v>221100</v>
      </c>
      <c r="AL28" s="96" t="n">
        <v>398400</v>
      </c>
      <c r="AM28" s="93" t="n">
        <v>0</v>
      </c>
      <c r="AN28" s="93" t="n">
        <v>0</v>
      </c>
      <c r="AO28" s="93" t="n">
        <v>0</v>
      </c>
      <c r="AP28" s="96" t="n">
        <v>196800</v>
      </c>
      <c r="AQ28" s="96" t="n">
        <v>612000</v>
      </c>
      <c r="AR28" s="93" t="n">
        <v>0</v>
      </c>
      <c r="AS28" s="97" t="n">
        <v>135000</v>
      </c>
      <c r="AT28" s="93" t="n">
        <v>0</v>
      </c>
      <c r="AU28" s="97" t="n">
        <v>249000</v>
      </c>
      <c r="AV28" s="93" t="n">
        <v>0</v>
      </c>
      <c r="AW28" s="93" t="n">
        <v>0</v>
      </c>
      <c r="AX28" s="93" t="n">
        <v>0</v>
      </c>
      <c r="AY28" s="93" t="n">
        <v>0</v>
      </c>
      <c r="AZ28" s="93" t="n">
        <v>0</v>
      </c>
      <c r="BA28" s="93" t="n">
        <v>0</v>
      </c>
      <c r="BB28" s="93" t="n">
        <v>0</v>
      </c>
    </row>
    <row r="29" ht="20" customHeight="1">
      <c r="A29" s="98" t="inlineStr">
        <is>
          <t>Số 203, Lê Hồng Phong, KP8,, , P.Phú Lợi, Hồ Chí Minh</t>
        </is>
      </c>
      <c r="B29" s="99" t="inlineStr">
        <is>
          <t>ST00_CVS_FM</t>
        </is>
      </c>
      <c r="C29" s="99" t="inlineStr">
        <is>
          <t>ST-02L-3011</t>
        </is>
      </c>
      <c r="D29" s="98" t="inlineStr">
        <is>
          <t>Nguyễn Đức Hoà</t>
        </is>
      </c>
      <c r="E29" s="99" t="inlineStr">
        <is>
          <t>SR</t>
        </is>
      </c>
      <c r="F29" s="89" t="n">
        <v>5475750</v>
      </c>
      <c r="G29" s="90">
        <f>SUM(I29:BB29)</f>
        <v/>
      </c>
      <c r="H29" s="91">
        <f>IF(F29&gt;0, G29/F29, 0)</f>
        <v/>
      </c>
      <c r="I29" s="100" t="n">
        <v>0</v>
      </c>
      <c r="J29" s="100" t="n">
        <v>0</v>
      </c>
      <c r="K29" s="100" t="n">
        <v>0</v>
      </c>
      <c r="L29" s="100" t="n">
        <v>0</v>
      </c>
      <c r="M29" s="100" t="n">
        <v>0</v>
      </c>
      <c r="N29" s="100" t="n">
        <v>0</v>
      </c>
      <c r="O29" s="100" t="n">
        <v>0</v>
      </c>
      <c r="P29" s="100" t="n">
        <v>0</v>
      </c>
      <c r="Q29" s="100" t="n">
        <v>0</v>
      </c>
      <c r="R29" s="100" t="n">
        <v>0</v>
      </c>
      <c r="S29" s="100" t="n">
        <v>0</v>
      </c>
      <c r="T29" s="100" t="n">
        <v>0</v>
      </c>
      <c r="U29" s="94" t="n">
        <v>142800</v>
      </c>
      <c r="V29" s="94" t="n">
        <v>142800</v>
      </c>
      <c r="W29" s="94" t="n">
        <v>171600</v>
      </c>
      <c r="X29" s="94" t="n">
        <v>95400</v>
      </c>
      <c r="Y29" s="94" t="n">
        <v>95400</v>
      </c>
      <c r="Z29" s="94" t="n">
        <v>142800</v>
      </c>
      <c r="AA29" s="94" t="n">
        <v>180000</v>
      </c>
      <c r="AB29" s="100" t="n">
        <v>0</v>
      </c>
      <c r="AC29" s="100" t="n">
        <v>0</v>
      </c>
      <c r="AD29" s="95" t="n">
        <v>191250</v>
      </c>
      <c r="AE29" s="100" t="n">
        <v>0</v>
      </c>
      <c r="AF29" s="100" t="n">
        <v>0</v>
      </c>
      <c r="AG29" s="100" t="n">
        <v>0</v>
      </c>
      <c r="AH29" s="100" t="n">
        <v>0</v>
      </c>
      <c r="AI29" s="100" t="n">
        <v>0</v>
      </c>
      <c r="AJ29" s="100" t="n">
        <v>0</v>
      </c>
      <c r="AK29" s="100" t="n">
        <v>0</v>
      </c>
      <c r="AL29" s="100" t="n">
        <v>0</v>
      </c>
      <c r="AM29" s="100" t="n">
        <v>0</v>
      </c>
      <c r="AN29" s="100" t="n">
        <v>0</v>
      </c>
      <c r="AO29" s="100" t="n">
        <v>0</v>
      </c>
      <c r="AP29" s="100" t="n">
        <v>0</v>
      </c>
      <c r="AQ29" s="100" t="n">
        <v>0</v>
      </c>
      <c r="AR29" s="100" t="n">
        <v>0</v>
      </c>
      <c r="AS29" s="97" t="n">
        <v>135000</v>
      </c>
      <c r="AT29" s="100" t="n">
        <v>0</v>
      </c>
      <c r="AU29" s="100" t="n">
        <v>0</v>
      </c>
      <c r="AV29" s="100" t="n">
        <v>0</v>
      </c>
      <c r="AW29" s="100" t="n">
        <v>0</v>
      </c>
      <c r="AX29" s="100" t="n">
        <v>0</v>
      </c>
      <c r="AY29" s="100" t="n">
        <v>0</v>
      </c>
      <c r="AZ29" s="100" t="n">
        <v>0</v>
      </c>
      <c r="BA29" s="100" t="n">
        <v>0</v>
      </c>
      <c r="BB29" s="100" t="n">
        <v>0</v>
      </c>
    </row>
    <row r="30" ht="20" customHeight="1">
      <c r="A30" s="87" t="inlineStr">
        <is>
          <t>Số 356,, Đường 30/4,, , P.Thủ Dầu Một, Hồ Chí Minh</t>
        </is>
      </c>
      <c r="B30" s="88" t="inlineStr">
        <is>
          <t>ST00_CVS_FM</t>
        </is>
      </c>
      <c r="C30" s="88" t="inlineStr">
        <is>
          <t>ST-02L-3011</t>
        </is>
      </c>
      <c r="D30" s="87" t="inlineStr">
        <is>
          <t>Nguyễn Đức Hoà</t>
        </is>
      </c>
      <c r="E30" s="88" t="inlineStr">
        <is>
          <t>SR</t>
        </is>
      </c>
      <c r="F30" s="89" t="n">
        <v>5920200</v>
      </c>
      <c r="G30" s="90">
        <f>SUM(I30:BB30)</f>
        <v/>
      </c>
      <c r="H30" s="91">
        <f>IF(F30&gt;0, G30/F30, 0)</f>
        <v/>
      </c>
      <c r="I30" s="92" t="n">
        <v>261600</v>
      </c>
      <c r="J30" s="93" t="n">
        <v>0</v>
      </c>
      <c r="K30" s="93" t="n">
        <v>0</v>
      </c>
      <c r="L30" s="93" t="n">
        <v>0</v>
      </c>
      <c r="M30" s="93" t="n">
        <v>0</v>
      </c>
      <c r="N30" s="92" t="n">
        <v>290400</v>
      </c>
      <c r="O30" s="93" t="n">
        <v>0</v>
      </c>
      <c r="P30" s="93" t="n">
        <v>0</v>
      </c>
      <c r="Q30" s="93" t="n">
        <v>0</v>
      </c>
      <c r="R30" s="93" t="n">
        <v>0</v>
      </c>
      <c r="S30" s="93" t="n">
        <v>0</v>
      </c>
      <c r="T30" s="93" t="n">
        <v>0</v>
      </c>
      <c r="U30" s="94" t="n">
        <v>142800</v>
      </c>
      <c r="V30" s="94" t="n">
        <v>142800</v>
      </c>
      <c r="W30" s="93" t="n">
        <v>0</v>
      </c>
      <c r="X30" s="94" t="n">
        <v>95400</v>
      </c>
      <c r="Y30" s="94" t="n">
        <v>95400</v>
      </c>
      <c r="Z30" s="94" t="n">
        <v>142800</v>
      </c>
      <c r="AA30" s="93" t="n">
        <v>0</v>
      </c>
      <c r="AB30" s="93" t="n">
        <v>0</v>
      </c>
      <c r="AC30" s="94" t="n">
        <v>180000</v>
      </c>
      <c r="AD30" s="95" t="n">
        <v>382500</v>
      </c>
      <c r="AE30" s="95" t="n">
        <v>230400</v>
      </c>
      <c r="AF30" s="93" t="n">
        <v>0</v>
      </c>
      <c r="AG30" s="93" t="n">
        <v>0</v>
      </c>
      <c r="AH30" s="93" t="n">
        <v>0</v>
      </c>
      <c r="AI30" s="93" t="n">
        <v>0</v>
      </c>
      <c r="AJ30" s="93" t="n">
        <v>0</v>
      </c>
      <c r="AK30" s="93" t="n">
        <v>0</v>
      </c>
      <c r="AL30" s="93" t="n">
        <v>0</v>
      </c>
      <c r="AM30" s="93" t="n">
        <v>0</v>
      </c>
      <c r="AN30" s="93" t="n">
        <v>0</v>
      </c>
      <c r="AO30" s="93" t="n">
        <v>0</v>
      </c>
      <c r="AP30" s="93" t="n">
        <v>0</v>
      </c>
      <c r="AQ30" s="96" t="n">
        <v>204000</v>
      </c>
      <c r="AR30" s="93" t="n">
        <v>0</v>
      </c>
      <c r="AS30" s="97" t="n">
        <v>135000</v>
      </c>
      <c r="AT30" s="93" t="n">
        <v>0</v>
      </c>
      <c r="AU30" s="97" t="n">
        <v>249000</v>
      </c>
      <c r="AV30" s="93" t="n">
        <v>0</v>
      </c>
      <c r="AW30" s="93" t="n">
        <v>0</v>
      </c>
      <c r="AX30" s="93" t="n">
        <v>0</v>
      </c>
      <c r="AY30" s="93" t="n">
        <v>0</v>
      </c>
      <c r="AZ30" s="93" t="n">
        <v>0</v>
      </c>
      <c r="BA30" s="93" t="n">
        <v>0</v>
      </c>
      <c r="BB30" s="93" t="n">
        <v>0</v>
      </c>
    </row>
    <row r="31" ht="20" customHeight="1">
      <c r="A31" s="98" t="inlineStr">
        <is>
          <t>Số 490, ĐL Bình Dương, , P.Phú Lợi, Hồ Chí Minh</t>
        </is>
      </c>
      <c r="B31" s="99" t="inlineStr">
        <is>
          <t>ST00_CVS_FM</t>
        </is>
      </c>
      <c r="C31" s="99" t="inlineStr">
        <is>
          <t>ST-02L-3011</t>
        </is>
      </c>
      <c r="D31" s="98" t="inlineStr">
        <is>
          <t>Nguyễn Đức Hoà</t>
        </is>
      </c>
      <c r="E31" s="99" t="inlineStr">
        <is>
          <t>SR</t>
        </is>
      </c>
      <c r="F31" s="89" t="n">
        <v>2947500</v>
      </c>
      <c r="G31" s="90">
        <f>SUM(I31:BB31)</f>
        <v/>
      </c>
      <c r="H31" s="91">
        <f>IF(F31&gt;0, G31/F31, 0)</f>
        <v/>
      </c>
      <c r="I31" s="100" t="n">
        <v>0</v>
      </c>
      <c r="J31" s="100" t="n">
        <v>0</v>
      </c>
      <c r="K31" s="100" t="n">
        <v>0</v>
      </c>
      <c r="L31" s="100" t="n">
        <v>0</v>
      </c>
      <c r="M31" s="100" t="n">
        <v>0</v>
      </c>
      <c r="N31" s="92" t="n">
        <v>145200</v>
      </c>
      <c r="O31" s="100" t="n">
        <v>0</v>
      </c>
      <c r="P31" s="100" t="n">
        <v>0</v>
      </c>
      <c r="Q31" s="100" t="n">
        <v>0</v>
      </c>
      <c r="R31" s="100" t="n">
        <v>0</v>
      </c>
      <c r="S31" s="100" t="n">
        <v>0</v>
      </c>
      <c r="T31" s="100" t="n">
        <v>0</v>
      </c>
      <c r="U31" s="100" t="n">
        <v>0</v>
      </c>
      <c r="V31" s="100" t="n">
        <v>0</v>
      </c>
      <c r="W31" s="94" t="n">
        <v>171600</v>
      </c>
      <c r="X31" s="94" t="n">
        <v>95400</v>
      </c>
      <c r="Y31" s="94" t="n">
        <v>95400</v>
      </c>
      <c r="Z31" s="100" t="n">
        <v>0</v>
      </c>
      <c r="AA31" s="100" t="n">
        <v>0</v>
      </c>
      <c r="AB31" s="100" t="n">
        <v>0</v>
      </c>
      <c r="AC31" s="100" t="n">
        <v>0</v>
      </c>
      <c r="AD31" s="95" t="n">
        <v>191250</v>
      </c>
      <c r="AE31" s="100" t="n">
        <v>0</v>
      </c>
      <c r="AF31" s="100" t="n">
        <v>0</v>
      </c>
      <c r="AG31" s="100" t="n">
        <v>0</v>
      </c>
      <c r="AH31" s="100" t="n">
        <v>0</v>
      </c>
      <c r="AI31" s="100" t="n">
        <v>0</v>
      </c>
      <c r="AJ31" s="100" t="n">
        <v>0</v>
      </c>
      <c r="AK31" s="96" t="n">
        <v>221100</v>
      </c>
      <c r="AL31" s="100" t="n">
        <v>0</v>
      </c>
      <c r="AM31" s="100" t="n">
        <v>0</v>
      </c>
      <c r="AN31" s="100" t="n">
        <v>0</v>
      </c>
      <c r="AO31" s="100" t="n">
        <v>0</v>
      </c>
      <c r="AP31" s="100" t="n">
        <v>0</v>
      </c>
      <c r="AQ31" s="100" t="n">
        <v>0</v>
      </c>
      <c r="AR31" s="100" t="n">
        <v>0</v>
      </c>
      <c r="AS31" s="100" t="n">
        <v>0</v>
      </c>
      <c r="AT31" s="100" t="n">
        <v>0</v>
      </c>
      <c r="AU31" s="100" t="n">
        <v>0</v>
      </c>
      <c r="AV31" s="100" t="n">
        <v>0</v>
      </c>
      <c r="AW31" s="100" t="n">
        <v>0</v>
      </c>
      <c r="AX31" s="100" t="n">
        <v>0</v>
      </c>
      <c r="AY31" s="100" t="n">
        <v>0</v>
      </c>
      <c r="AZ31" s="100" t="n">
        <v>0</v>
      </c>
      <c r="BA31" s="100" t="n">
        <v>0</v>
      </c>
      <c r="BB31" s="100" t="n">
        <v>0</v>
      </c>
    </row>
    <row r="32" ht="20" customHeight="1">
      <c r="A32" s="87" t="inlineStr">
        <is>
          <t>Số 62/2, Đường 745, KP. Thạnh Lợi, , P.Thuận An, Hồ Chí Minh</t>
        </is>
      </c>
      <c r="B32" s="88" t="inlineStr">
        <is>
          <t>ST00_CVS_FM</t>
        </is>
      </c>
      <c r="C32" s="88" t="inlineStr">
        <is>
          <t>ST-02L-3011</t>
        </is>
      </c>
      <c r="D32" s="87" t="inlineStr">
        <is>
          <t>Nguyễn Đức Hoà</t>
        </is>
      </c>
      <c r="E32" s="88" t="inlineStr">
        <is>
          <t>SR</t>
        </is>
      </c>
      <c r="F32" s="89" t="n">
        <v>3131550</v>
      </c>
      <c r="G32" s="90">
        <f>SUM(I32:BB32)</f>
        <v/>
      </c>
      <c r="H32" s="91">
        <f>IF(F32&gt;0, G32/F32, 0)</f>
        <v/>
      </c>
      <c r="I32" s="92" t="n">
        <v>261600</v>
      </c>
      <c r="J32" s="93" t="n">
        <v>0</v>
      </c>
      <c r="K32" s="93" t="n">
        <v>0</v>
      </c>
      <c r="L32" s="93" t="n">
        <v>0</v>
      </c>
      <c r="M32" s="93" t="n">
        <v>0</v>
      </c>
      <c r="N32" s="92" t="n">
        <v>290400</v>
      </c>
      <c r="O32" s="93" t="n">
        <v>0</v>
      </c>
      <c r="P32" s="93" t="n">
        <v>0</v>
      </c>
      <c r="Q32" s="93" t="n">
        <v>0</v>
      </c>
      <c r="R32" s="93" t="n">
        <v>0</v>
      </c>
      <c r="S32" s="93" t="n">
        <v>0</v>
      </c>
      <c r="T32" s="93" t="n">
        <v>0</v>
      </c>
      <c r="U32" s="93" t="n">
        <v>0</v>
      </c>
      <c r="V32" s="93" t="n">
        <v>0</v>
      </c>
      <c r="W32" s="93" t="n">
        <v>0</v>
      </c>
      <c r="X32" s="93" t="n">
        <v>0</v>
      </c>
      <c r="Y32" s="94" t="n">
        <v>95400</v>
      </c>
      <c r="Z32" s="94" t="n">
        <v>142800</v>
      </c>
      <c r="AA32" s="93" t="n">
        <v>0</v>
      </c>
      <c r="AB32" s="93" t="n">
        <v>0</v>
      </c>
      <c r="AC32" s="93" t="n">
        <v>0</v>
      </c>
      <c r="AD32" s="95" t="n">
        <v>191250</v>
      </c>
      <c r="AE32" s="93" t="n">
        <v>0</v>
      </c>
      <c r="AF32" s="93" t="n">
        <v>0</v>
      </c>
      <c r="AG32" s="93" t="n">
        <v>0</v>
      </c>
      <c r="AH32" s="93" t="n">
        <v>0</v>
      </c>
      <c r="AI32" s="93" t="n">
        <v>0</v>
      </c>
      <c r="AJ32" s="93" t="n">
        <v>0</v>
      </c>
      <c r="AK32" s="93" t="n">
        <v>0</v>
      </c>
      <c r="AL32" s="93" t="n">
        <v>0</v>
      </c>
      <c r="AM32" s="93" t="n">
        <v>0</v>
      </c>
      <c r="AN32" s="93" t="n">
        <v>0</v>
      </c>
      <c r="AO32" s="93" t="n">
        <v>0</v>
      </c>
      <c r="AP32" s="93" t="n">
        <v>0</v>
      </c>
      <c r="AQ32" s="93" t="n">
        <v>0</v>
      </c>
      <c r="AR32" s="93" t="n">
        <v>0</v>
      </c>
      <c r="AS32" s="93" t="n">
        <v>0</v>
      </c>
      <c r="AT32" s="93" t="n">
        <v>0</v>
      </c>
      <c r="AU32" s="93" t="n">
        <v>0</v>
      </c>
      <c r="AV32" s="93" t="n">
        <v>0</v>
      </c>
      <c r="AW32" s="93" t="n">
        <v>0</v>
      </c>
      <c r="AX32" s="93" t="n">
        <v>0</v>
      </c>
      <c r="AY32" s="93" t="n">
        <v>0</v>
      </c>
      <c r="AZ32" s="93" t="n">
        <v>0</v>
      </c>
      <c r="BA32" s="93" t="n">
        <v>0</v>
      </c>
      <c r="BB32" s="93" t="n">
        <v>0</v>
      </c>
    </row>
    <row r="33" ht="20" customHeight="1">
      <c r="A33" s="98" t="inlineStr">
        <is>
          <t>Tầng trệt, Block D, KDC Hiệp Thành III, Tổ 105, KP.7, , P.Phú Lợi, Hồ Chí Minh</t>
        </is>
      </c>
      <c r="B33" s="99" t="inlineStr">
        <is>
          <t>ST00_CVS_FM</t>
        </is>
      </c>
      <c r="C33" s="99" t="inlineStr">
        <is>
          <t>ST-02L-3011</t>
        </is>
      </c>
      <c r="D33" s="98" t="inlineStr">
        <is>
          <t>Nguyễn Đức Hoà</t>
        </is>
      </c>
      <c r="E33" s="99" t="inlineStr">
        <is>
          <t>SR</t>
        </is>
      </c>
      <c r="F33" s="89" t="n">
        <v>9255800</v>
      </c>
      <c r="G33" s="90">
        <f>SUM(I33:BB33)</f>
        <v/>
      </c>
      <c r="H33" s="91">
        <f>IF(F33&gt;0, G33/F33, 0)</f>
        <v/>
      </c>
      <c r="I33" s="100" t="n">
        <v>0</v>
      </c>
      <c r="J33" s="92" t="n">
        <v>536400</v>
      </c>
      <c r="K33" s="100" t="n">
        <v>0</v>
      </c>
      <c r="L33" s="100" t="n">
        <v>0</v>
      </c>
      <c r="M33" s="100" t="n">
        <v>0</v>
      </c>
      <c r="N33" s="92" t="n">
        <v>290400</v>
      </c>
      <c r="O33" s="101" t="n">
        <v>445500</v>
      </c>
      <c r="P33" s="101" t="n">
        <v>445500</v>
      </c>
      <c r="Q33" s="101" t="n">
        <v>162600</v>
      </c>
      <c r="R33" s="101" t="n">
        <v>158400</v>
      </c>
      <c r="S33" s="100" t="n">
        <v>0</v>
      </c>
      <c r="T33" s="100" t="n">
        <v>0</v>
      </c>
      <c r="U33" s="94" t="n">
        <v>285600</v>
      </c>
      <c r="V33" s="94" t="n">
        <v>142800</v>
      </c>
      <c r="W33" s="94" t="n">
        <v>171600</v>
      </c>
      <c r="X33" s="94" t="n">
        <v>95400</v>
      </c>
      <c r="Y33" s="94" t="n">
        <v>95400</v>
      </c>
      <c r="Z33" s="94" t="n">
        <v>142800</v>
      </c>
      <c r="AA33" s="94" t="n">
        <v>180000</v>
      </c>
      <c r="AB33" s="94" t="n">
        <v>138600</v>
      </c>
      <c r="AC33" s="100" t="n">
        <v>0</v>
      </c>
      <c r="AD33" s="95" t="n">
        <v>446250</v>
      </c>
      <c r="AE33" s="95" t="n">
        <v>230400</v>
      </c>
      <c r="AF33" s="100" t="n">
        <v>0</v>
      </c>
      <c r="AG33" s="95" t="n">
        <v>127500</v>
      </c>
      <c r="AH33" s="100" t="n">
        <v>0</v>
      </c>
      <c r="AI33" s="96" t="n">
        <v>221100</v>
      </c>
      <c r="AJ33" s="96" t="n">
        <v>204000</v>
      </c>
      <c r="AK33" s="100" t="n">
        <v>0</v>
      </c>
      <c r="AL33" s="96" t="n">
        <v>398400</v>
      </c>
      <c r="AM33" s="100" t="n">
        <v>0</v>
      </c>
      <c r="AN33" s="100" t="n">
        <v>0</v>
      </c>
      <c r="AO33" s="96" t="n">
        <v>221100</v>
      </c>
      <c r="AP33" s="100" t="n">
        <v>0</v>
      </c>
      <c r="AQ33" s="96" t="n">
        <v>204000</v>
      </c>
      <c r="AR33" s="100" t="n">
        <v>0</v>
      </c>
      <c r="AS33" s="97" t="n">
        <v>135000</v>
      </c>
      <c r="AT33" s="100" t="n">
        <v>0</v>
      </c>
      <c r="AU33" s="97" t="n">
        <v>249000</v>
      </c>
      <c r="AV33" s="100" t="n">
        <v>0</v>
      </c>
      <c r="AW33" s="100" t="n">
        <v>0</v>
      </c>
      <c r="AX33" s="100" t="n">
        <v>0</v>
      </c>
      <c r="AY33" s="100" t="n">
        <v>0</v>
      </c>
      <c r="AZ33" s="100" t="n">
        <v>0</v>
      </c>
      <c r="BA33" s="100" t="n">
        <v>0</v>
      </c>
      <c r="BB33" s="100" t="n">
        <v>0</v>
      </c>
    </row>
    <row r="34" ht="20" customHeight="1">
      <c r="A34" s="87" t="inlineStr">
        <is>
          <t>Ô 1 và ô 2, lô DC37, Khu dân cư Vietsing, , P.An Phú, Hồ Chí Minh</t>
        </is>
      </c>
      <c r="B34" s="88" t="inlineStr">
        <is>
          <t>ST00_CVS_FM</t>
        </is>
      </c>
      <c r="C34" s="88" t="inlineStr">
        <is>
          <t>ST-02L-3011</t>
        </is>
      </c>
      <c r="D34" s="87" t="inlineStr">
        <is>
          <t>Nguyễn Đức Hoà</t>
        </is>
      </c>
      <c r="E34" s="88" t="inlineStr">
        <is>
          <t>SR</t>
        </is>
      </c>
      <c r="F34" s="89" t="n">
        <v>15527400</v>
      </c>
      <c r="G34" s="90">
        <f>SUM(I34:BB34)</f>
        <v/>
      </c>
      <c r="H34" s="91">
        <f>IF(F34&gt;0, G34/F34, 0)</f>
        <v/>
      </c>
      <c r="I34" s="93" t="n">
        <v>0</v>
      </c>
      <c r="J34" s="93" t="n">
        <v>0</v>
      </c>
      <c r="K34" s="93" t="n">
        <v>0</v>
      </c>
      <c r="L34" s="93" t="n">
        <v>0</v>
      </c>
      <c r="M34" s="93" t="n">
        <v>0</v>
      </c>
      <c r="N34" s="93" t="n">
        <v>0</v>
      </c>
      <c r="O34" s="93" t="n">
        <v>0</v>
      </c>
      <c r="P34" s="93" t="n">
        <v>0</v>
      </c>
      <c r="Q34" s="93" t="n">
        <v>0</v>
      </c>
      <c r="R34" s="93" t="n">
        <v>0</v>
      </c>
      <c r="S34" s="93" t="n">
        <v>0</v>
      </c>
      <c r="T34" s="93" t="n">
        <v>0</v>
      </c>
      <c r="U34" s="94" t="n">
        <v>142800</v>
      </c>
      <c r="V34" s="94" t="n">
        <v>142800</v>
      </c>
      <c r="W34" s="94" t="n">
        <v>343200</v>
      </c>
      <c r="X34" s="94" t="n">
        <v>95400</v>
      </c>
      <c r="Y34" s="94" t="n">
        <v>190800</v>
      </c>
      <c r="Z34" s="94" t="n">
        <v>142800</v>
      </c>
      <c r="AA34" s="94" t="n">
        <v>180000</v>
      </c>
      <c r="AB34" s="94" t="n">
        <v>277200</v>
      </c>
      <c r="AC34" s="93" t="n">
        <v>0</v>
      </c>
      <c r="AD34" s="95" t="n">
        <v>318750</v>
      </c>
      <c r="AE34" s="93" t="n">
        <v>0</v>
      </c>
      <c r="AF34" s="93" t="n">
        <v>0</v>
      </c>
      <c r="AG34" s="93" t="n">
        <v>0</v>
      </c>
      <c r="AH34" s="93" t="n">
        <v>0</v>
      </c>
      <c r="AI34" s="96" t="n">
        <v>221100</v>
      </c>
      <c r="AJ34" s="93" t="n">
        <v>0</v>
      </c>
      <c r="AK34" s="93" t="n">
        <v>0</v>
      </c>
      <c r="AL34" s="93" t="n">
        <v>0</v>
      </c>
      <c r="AM34" s="93" t="n">
        <v>0</v>
      </c>
      <c r="AN34" s="93" t="n">
        <v>0</v>
      </c>
      <c r="AO34" s="96" t="n">
        <v>442200</v>
      </c>
      <c r="AP34" s="93" t="n">
        <v>0</v>
      </c>
      <c r="AQ34" s="93" t="n">
        <v>0</v>
      </c>
      <c r="AR34" s="93" t="n">
        <v>0</v>
      </c>
      <c r="AS34" s="93" t="n">
        <v>0</v>
      </c>
      <c r="AT34" s="93" t="n">
        <v>0</v>
      </c>
      <c r="AU34" s="97" t="n">
        <v>249000</v>
      </c>
      <c r="AV34" s="93" t="n">
        <v>0</v>
      </c>
      <c r="AW34" s="97" t="n">
        <v>229200</v>
      </c>
      <c r="AX34" s="93" t="n">
        <v>0</v>
      </c>
      <c r="AY34" s="97" t="n">
        <v>304800</v>
      </c>
      <c r="AZ34" s="93" t="n">
        <v>0</v>
      </c>
      <c r="BA34" s="97" t="n">
        <v>216000</v>
      </c>
      <c r="BB34" s="93" t="n">
        <v>0</v>
      </c>
    </row>
    <row r="35" ht="20" customHeight="1">
      <c r="A35" s="98" t="inlineStr">
        <is>
          <t>Ô 18 Khu Đô Thị Becamex, 30/04, , P.Phú Lợi, Hồ Chí Minh</t>
        </is>
      </c>
      <c r="B35" s="99" t="inlineStr">
        <is>
          <t>ST00_CVS_FM</t>
        </is>
      </c>
      <c r="C35" s="99" t="inlineStr">
        <is>
          <t>ST-02L-3011</t>
        </is>
      </c>
      <c r="D35" s="98" t="inlineStr">
        <is>
          <t>Nguyễn Đức Hoà</t>
        </is>
      </c>
      <c r="E35" s="99" t="inlineStr">
        <is>
          <t>SR</t>
        </is>
      </c>
      <c r="F35" s="89" t="n">
        <v>7526550</v>
      </c>
      <c r="G35" s="90">
        <f>SUM(I35:BB35)</f>
        <v/>
      </c>
      <c r="H35" s="91">
        <f>IF(F35&gt;0, G35/F35, 0)</f>
        <v/>
      </c>
      <c r="I35" s="100" t="n">
        <v>0</v>
      </c>
      <c r="J35" s="92" t="n">
        <v>268200</v>
      </c>
      <c r="K35" s="100" t="n">
        <v>0</v>
      </c>
      <c r="L35" s="100" t="n">
        <v>0</v>
      </c>
      <c r="M35" s="100" t="n">
        <v>0</v>
      </c>
      <c r="N35" s="92" t="n">
        <v>145200</v>
      </c>
      <c r="O35" s="100" t="n">
        <v>0</v>
      </c>
      <c r="P35" s="100" t="n">
        <v>0</v>
      </c>
      <c r="Q35" s="100" t="n">
        <v>0</v>
      </c>
      <c r="R35" s="100" t="n">
        <v>0</v>
      </c>
      <c r="S35" s="100" t="n">
        <v>0</v>
      </c>
      <c r="T35" s="100" t="n">
        <v>0</v>
      </c>
      <c r="U35" s="94" t="n">
        <v>142800</v>
      </c>
      <c r="V35" s="94" t="n">
        <v>142800</v>
      </c>
      <c r="W35" s="100" t="n">
        <v>0</v>
      </c>
      <c r="X35" s="94" t="n">
        <v>95400</v>
      </c>
      <c r="Y35" s="94" t="n">
        <v>190800</v>
      </c>
      <c r="Z35" s="94" t="n">
        <v>142800</v>
      </c>
      <c r="AA35" s="100" t="n">
        <v>0</v>
      </c>
      <c r="AB35" s="94" t="n">
        <v>138600</v>
      </c>
      <c r="AC35" s="100" t="n">
        <v>0</v>
      </c>
      <c r="AD35" s="100" t="n">
        <v>0</v>
      </c>
      <c r="AE35" s="100" t="n">
        <v>0</v>
      </c>
      <c r="AF35" s="100" t="n">
        <v>0</v>
      </c>
      <c r="AG35" s="100" t="n">
        <v>0</v>
      </c>
      <c r="AH35" s="100" t="n">
        <v>0</v>
      </c>
      <c r="AI35" s="96" t="n">
        <v>221100</v>
      </c>
      <c r="AJ35" s="100" t="n">
        <v>0</v>
      </c>
      <c r="AK35" s="100" t="n">
        <v>0</v>
      </c>
      <c r="AL35" s="100" t="n">
        <v>0</v>
      </c>
      <c r="AM35" s="100" t="n">
        <v>0</v>
      </c>
      <c r="AN35" s="100" t="n">
        <v>0</v>
      </c>
      <c r="AO35" s="100" t="n">
        <v>0</v>
      </c>
      <c r="AP35" s="100" t="n">
        <v>0</v>
      </c>
      <c r="AQ35" s="96" t="n">
        <v>204000</v>
      </c>
      <c r="AR35" s="100" t="n">
        <v>0</v>
      </c>
      <c r="AS35" s="100" t="n">
        <v>0</v>
      </c>
      <c r="AT35" s="100" t="n">
        <v>0</v>
      </c>
      <c r="AU35" s="100" t="n">
        <v>0</v>
      </c>
      <c r="AV35" s="100" t="n">
        <v>0</v>
      </c>
      <c r="AW35" s="100" t="n">
        <v>0</v>
      </c>
      <c r="AX35" s="100" t="n">
        <v>0</v>
      </c>
      <c r="AY35" s="100" t="n">
        <v>0</v>
      </c>
      <c r="AZ35" s="100" t="n">
        <v>0</v>
      </c>
      <c r="BA35" s="100" t="n">
        <v>0</v>
      </c>
      <c r="BB35" s="100" t="n">
        <v>0</v>
      </c>
    </row>
    <row r="36" ht="20" customHeight="1">
      <c r="A36" s="87" t="inlineStr">
        <is>
          <t>Ô R4, JF1A Khu đô thị mới, , P.Bình Dương, Hồ Chí Minh</t>
        </is>
      </c>
      <c r="B36" s="88" t="inlineStr">
        <is>
          <t>ST00_CVS_FM</t>
        </is>
      </c>
      <c r="C36" s="88" t="inlineStr">
        <is>
          <t>ST-02L-3011</t>
        </is>
      </c>
      <c r="D36" s="87" t="inlineStr">
        <is>
          <t>Nguyễn Đức Hoà</t>
        </is>
      </c>
      <c r="E36" s="88" t="inlineStr">
        <is>
          <t>SR</t>
        </is>
      </c>
      <c r="F36" s="89" t="n">
        <v>11488300</v>
      </c>
      <c r="G36" s="90">
        <f>SUM(I36:BB36)</f>
        <v/>
      </c>
      <c r="H36" s="91">
        <f>IF(F36&gt;0, G36/F36, 0)</f>
        <v/>
      </c>
      <c r="I36" s="92" t="n">
        <v>261600</v>
      </c>
      <c r="J36" s="93" t="n">
        <v>0</v>
      </c>
      <c r="K36" s="93" t="n">
        <v>0</v>
      </c>
      <c r="L36" s="93" t="n">
        <v>0</v>
      </c>
      <c r="M36" s="93" t="n">
        <v>0</v>
      </c>
      <c r="N36" s="92" t="n">
        <v>290400</v>
      </c>
      <c r="O36" s="93" t="n">
        <v>0</v>
      </c>
      <c r="P36" s="93" t="n">
        <v>0</v>
      </c>
      <c r="Q36" s="93" t="n">
        <v>0</v>
      </c>
      <c r="R36" s="93" t="n">
        <v>0</v>
      </c>
      <c r="S36" s="93" t="n">
        <v>0</v>
      </c>
      <c r="T36" s="93" t="n">
        <v>0</v>
      </c>
      <c r="U36" s="94" t="n">
        <v>142800</v>
      </c>
      <c r="V36" s="94" t="n">
        <v>142800</v>
      </c>
      <c r="W36" s="94" t="n">
        <v>171600</v>
      </c>
      <c r="X36" s="94" t="n">
        <v>95400</v>
      </c>
      <c r="Y36" s="93" t="n">
        <v>0</v>
      </c>
      <c r="Z36" s="94" t="n">
        <v>142800</v>
      </c>
      <c r="AA36" s="93" t="n">
        <v>0</v>
      </c>
      <c r="AB36" s="94" t="n">
        <v>138600</v>
      </c>
      <c r="AC36" s="93" t="n">
        <v>0</v>
      </c>
      <c r="AD36" s="95" t="n">
        <v>318750</v>
      </c>
      <c r="AE36" s="93" t="n">
        <v>0</v>
      </c>
      <c r="AF36" s="93" t="n">
        <v>0</v>
      </c>
      <c r="AG36" s="93" t="n">
        <v>0</v>
      </c>
      <c r="AH36" s="93" t="n">
        <v>0</v>
      </c>
      <c r="AI36" s="96" t="n">
        <v>663300</v>
      </c>
      <c r="AJ36" s="96" t="n">
        <v>204000</v>
      </c>
      <c r="AK36" s="93" t="n">
        <v>0</v>
      </c>
      <c r="AL36" s="93" t="n">
        <v>0</v>
      </c>
      <c r="AM36" s="93" t="n">
        <v>0</v>
      </c>
      <c r="AN36" s="93" t="n">
        <v>0</v>
      </c>
      <c r="AO36" s="93" t="n">
        <v>0</v>
      </c>
      <c r="AP36" s="96" t="n">
        <v>196800</v>
      </c>
      <c r="AQ36" s="93" t="n">
        <v>0</v>
      </c>
      <c r="AR36" s="93" t="n">
        <v>0</v>
      </c>
      <c r="AS36" s="93" t="n">
        <v>0</v>
      </c>
      <c r="AT36" s="93" t="n">
        <v>0</v>
      </c>
      <c r="AU36" s="93" t="n">
        <v>0</v>
      </c>
      <c r="AV36" s="93" t="n">
        <v>0</v>
      </c>
      <c r="AW36" s="93" t="n">
        <v>0</v>
      </c>
      <c r="AX36" s="93" t="n">
        <v>0</v>
      </c>
      <c r="AY36" s="93" t="n">
        <v>0</v>
      </c>
      <c r="AZ36" s="93" t="n">
        <v>0</v>
      </c>
      <c r="BA36" s="93" t="n">
        <v>0</v>
      </c>
      <c r="BB36" s="93" t="n">
        <v>0</v>
      </c>
    </row>
    <row r="37" ht="20" customHeight="1">
      <c r="A37" s="98" t="inlineStr">
        <is>
          <t>198-198A, Phan Đình Phùng, , P.Trấn Biên, Đồng Nai</t>
        </is>
      </c>
      <c r="B37" s="99" t="inlineStr">
        <is>
          <t>ST00_CVS_FM</t>
        </is>
      </c>
      <c r="C37" s="99" t="inlineStr">
        <is>
          <t>ST-01L-3022</t>
        </is>
      </c>
      <c r="D37" s="98" t="inlineStr">
        <is>
          <t>Não Thị Anh Đào</t>
        </is>
      </c>
      <c r="E37" s="99" t="inlineStr">
        <is>
          <t>SR</t>
        </is>
      </c>
      <c r="F37" s="89" t="n">
        <v>4002600</v>
      </c>
      <c r="G37" s="90">
        <f>SUM(I37:BB37)</f>
        <v/>
      </c>
      <c r="H37" s="91">
        <f>IF(F37&gt;0, G37/F37, 0)</f>
        <v/>
      </c>
      <c r="I37" s="92" t="n">
        <v>523200</v>
      </c>
      <c r="J37" s="92" t="n">
        <v>268200</v>
      </c>
      <c r="K37" s="100" t="n">
        <v>0</v>
      </c>
      <c r="L37" s="100" t="n">
        <v>0</v>
      </c>
      <c r="M37" s="100" t="n">
        <v>0</v>
      </c>
      <c r="N37" s="100" t="n">
        <v>0</v>
      </c>
      <c r="O37" s="100" t="n">
        <v>0</v>
      </c>
      <c r="P37" s="100" t="n">
        <v>0</v>
      </c>
      <c r="Q37" s="100" t="n">
        <v>0</v>
      </c>
      <c r="R37" s="100" t="n">
        <v>0</v>
      </c>
      <c r="S37" s="100" t="n">
        <v>0</v>
      </c>
      <c r="T37" s="100" t="n">
        <v>0</v>
      </c>
      <c r="U37" s="94" t="n">
        <v>71400</v>
      </c>
      <c r="V37" s="94" t="n">
        <v>71400</v>
      </c>
      <c r="W37" s="100" t="n">
        <v>0</v>
      </c>
      <c r="X37" s="94" t="n">
        <v>190800</v>
      </c>
      <c r="Y37" s="94" t="n">
        <v>190800</v>
      </c>
      <c r="Z37" s="94" t="n">
        <v>71400</v>
      </c>
      <c r="AA37" s="100" t="n">
        <v>0</v>
      </c>
      <c r="AB37" s="94" t="n">
        <v>138600</v>
      </c>
      <c r="AC37" s="94" t="n">
        <v>180000</v>
      </c>
      <c r="AD37" s="100" t="n">
        <v>0</v>
      </c>
      <c r="AE37" s="100" t="n">
        <v>0</v>
      </c>
      <c r="AF37" s="100" t="n">
        <v>0</v>
      </c>
      <c r="AG37" s="100" t="n">
        <v>0</v>
      </c>
      <c r="AH37" s="100" t="n">
        <v>0</v>
      </c>
      <c r="AI37" s="100" t="n">
        <v>0</v>
      </c>
      <c r="AJ37" s="100" t="n">
        <v>0</v>
      </c>
      <c r="AK37" s="100" t="n">
        <v>0</v>
      </c>
      <c r="AL37" s="100" t="n">
        <v>0</v>
      </c>
      <c r="AM37" s="100" t="n">
        <v>0</v>
      </c>
      <c r="AN37" s="100" t="n">
        <v>0</v>
      </c>
      <c r="AO37" s="100" t="n">
        <v>0</v>
      </c>
      <c r="AP37" s="100" t="n">
        <v>0</v>
      </c>
      <c r="AQ37" s="100" t="n">
        <v>0</v>
      </c>
      <c r="AR37" s="100" t="n">
        <v>0</v>
      </c>
      <c r="AS37" s="100" t="n">
        <v>0</v>
      </c>
      <c r="AT37" s="100" t="n">
        <v>0</v>
      </c>
      <c r="AU37" s="100" t="n">
        <v>0</v>
      </c>
      <c r="AV37" s="100" t="n">
        <v>0</v>
      </c>
      <c r="AW37" s="100" t="n">
        <v>0</v>
      </c>
      <c r="AX37" s="100" t="n">
        <v>0</v>
      </c>
      <c r="AY37" s="100" t="n">
        <v>0</v>
      </c>
      <c r="AZ37" s="100" t="n">
        <v>0</v>
      </c>
      <c r="BA37" s="100" t="n">
        <v>0</v>
      </c>
      <c r="BB37" s="100" t="n">
        <v>0</v>
      </c>
    </row>
    <row r="38" ht="20" customHeight="1">
      <c r="A38" s="87" t="inlineStr">
        <is>
          <t>2, Nguyễn An Ninh, , P.Dĩ An, Hồ Chí Minh</t>
        </is>
      </c>
      <c r="B38" s="88" t="inlineStr">
        <is>
          <t>ST00_CVS_FM</t>
        </is>
      </c>
      <c r="C38" s="88" t="inlineStr">
        <is>
          <t>ST-01L-3022</t>
        </is>
      </c>
      <c r="D38" s="87" t="inlineStr">
        <is>
          <t>Não Thị Anh Đào</t>
        </is>
      </c>
      <c r="E38" s="88" t="inlineStr">
        <is>
          <t>SR</t>
        </is>
      </c>
      <c r="F38" s="89" t="n">
        <v>7843700</v>
      </c>
      <c r="G38" s="90">
        <f>SUM(I38:BB38)</f>
        <v/>
      </c>
      <c r="H38" s="91">
        <f>IF(F38&gt;0, G38/F38, 0)</f>
        <v/>
      </c>
      <c r="I38" s="92" t="n">
        <v>261600</v>
      </c>
      <c r="J38" s="93" t="n">
        <v>0</v>
      </c>
      <c r="K38" s="93" t="n">
        <v>0</v>
      </c>
      <c r="L38" s="93" t="n">
        <v>0</v>
      </c>
      <c r="M38" s="93" t="n">
        <v>0</v>
      </c>
      <c r="N38" s="92" t="n">
        <v>290400</v>
      </c>
      <c r="O38" s="93" t="n">
        <v>0</v>
      </c>
      <c r="P38" s="93" t="n">
        <v>0</v>
      </c>
      <c r="Q38" s="93" t="n">
        <v>0</v>
      </c>
      <c r="R38" s="93" t="n">
        <v>0</v>
      </c>
      <c r="S38" s="101" t="n">
        <v>222900</v>
      </c>
      <c r="T38" s="93" t="n">
        <v>0</v>
      </c>
      <c r="U38" s="94" t="n">
        <v>142800</v>
      </c>
      <c r="V38" s="93" t="n">
        <v>0</v>
      </c>
      <c r="W38" s="94" t="n">
        <v>171600</v>
      </c>
      <c r="X38" s="94" t="n">
        <v>95400</v>
      </c>
      <c r="Y38" s="93" t="n">
        <v>0</v>
      </c>
      <c r="Z38" s="93" t="n">
        <v>0</v>
      </c>
      <c r="AA38" s="93" t="n">
        <v>0</v>
      </c>
      <c r="AB38" s="93" t="n">
        <v>0</v>
      </c>
      <c r="AC38" s="93" t="n">
        <v>0</v>
      </c>
      <c r="AD38" s="95" t="n">
        <v>765000</v>
      </c>
      <c r="AE38" s="95" t="n">
        <v>230400</v>
      </c>
      <c r="AF38" s="93" t="n">
        <v>0</v>
      </c>
      <c r="AG38" s="95" t="n">
        <v>127500</v>
      </c>
      <c r="AH38" s="93" t="n">
        <v>0</v>
      </c>
      <c r="AI38" s="96" t="n">
        <v>221100</v>
      </c>
      <c r="AJ38" s="93" t="n">
        <v>0</v>
      </c>
      <c r="AK38" s="93" t="n">
        <v>0</v>
      </c>
      <c r="AL38" s="93" t="n">
        <v>0</v>
      </c>
      <c r="AM38" s="93" t="n">
        <v>0</v>
      </c>
      <c r="AN38" s="93" t="n">
        <v>0</v>
      </c>
      <c r="AO38" s="93" t="n">
        <v>0</v>
      </c>
      <c r="AP38" s="93" t="n">
        <v>0</v>
      </c>
      <c r="AQ38" s="93" t="n">
        <v>0</v>
      </c>
      <c r="AR38" s="93" t="n">
        <v>0</v>
      </c>
      <c r="AS38" s="97" t="n">
        <v>135000</v>
      </c>
      <c r="AT38" s="93" t="n">
        <v>0</v>
      </c>
      <c r="AU38" s="93" t="n">
        <v>0</v>
      </c>
      <c r="AV38" s="93" t="n">
        <v>0</v>
      </c>
      <c r="AW38" s="93" t="n">
        <v>0</v>
      </c>
      <c r="AX38" s="93" t="n">
        <v>0</v>
      </c>
      <c r="AY38" s="93" t="n">
        <v>0</v>
      </c>
      <c r="AZ38" s="93" t="n">
        <v>0</v>
      </c>
      <c r="BA38" s="93" t="n">
        <v>0</v>
      </c>
      <c r="BB38" s="93" t="n">
        <v>0</v>
      </c>
    </row>
    <row r="39" ht="20" customHeight="1">
      <c r="A39" s="98" t="inlineStr">
        <is>
          <t>A2, Trần Quốc Toản, , P.Tam Hiệp, Đồng Nai</t>
        </is>
      </c>
      <c r="B39" s="99" t="inlineStr">
        <is>
          <t>ST00_CVS_FM</t>
        </is>
      </c>
      <c r="C39" s="99" t="inlineStr">
        <is>
          <t>ST-01L-3022</t>
        </is>
      </c>
      <c r="D39" s="98" t="inlineStr">
        <is>
          <t>Não Thị Anh Đào</t>
        </is>
      </c>
      <c r="E39" s="99" t="inlineStr">
        <is>
          <t>SR</t>
        </is>
      </c>
      <c r="F39" s="89" t="n">
        <v>6062450</v>
      </c>
      <c r="G39" s="90">
        <f>SUM(I39:BB39)</f>
        <v/>
      </c>
      <c r="H39" s="91">
        <f>IF(F39&gt;0, G39/F39, 0)</f>
        <v/>
      </c>
      <c r="I39" s="92" t="n">
        <v>523200</v>
      </c>
      <c r="J39" s="100" t="n">
        <v>0</v>
      </c>
      <c r="K39" s="100" t="n">
        <v>0</v>
      </c>
      <c r="L39" s="100" t="n">
        <v>0</v>
      </c>
      <c r="M39" s="100" t="n">
        <v>0</v>
      </c>
      <c r="N39" s="92" t="n">
        <v>145200</v>
      </c>
      <c r="O39" s="100" t="n">
        <v>0</v>
      </c>
      <c r="P39" s="100" t="n">
        <v>0</v>
      </c>
      <c r="Q39" s="100" t="n">
        <v>0</v>
      </c>
      <c r="R39" s="101" t="n">
        <v>158400</v>
      </c>
      <c r="S39" s="101" t="n">
        <v>222900</v>
      </c>
      <c r="T39" s="100" t="n">
        <v>0</v>
      </c>
      <c r="U39" s="100" t="n">
        <v>0</v>
      </c>
      <c r="V39" s="100" t="n">
        <v>0</v>
      </c>
      <c r="W39" s="94" t="n">
        <v>85800</v>
      </c>
      <c r="X39" s="100" t="n">
        <v>0</v>
      </c>
      <c r="Y39" s="94" t="n">
        <v>95400</v>
      </c>
      <c r="Z39" s="94" t="n">
        <v>71400</v>
      </c>
      <c r="AA39" s="100" t="n">
        <v>0</v>
      </c>
      <c r="AB39" s="100" t="n">
        <v>0</v>
      </c>
      <c r="AC39" s="100" t="n">
        <v>0</v>
      </c>
      <c r="AD39" s="95" t="n">
        <v>318750</v>
      </c>
      <c r="AE39" s="100" t="n">
        <v>0</v>
      </c>
      <c r="AF39" s="95" t="n">
        <v>212400</v>
      </c>
      <c r="AG39" s="100" t="n">
        <v>0</v>
      </c>
      <c r="AH39" s="100" t="n">
        <v>0</v>
      </c>
      <c r="AI39" s="96" t="n">
        <v>221100</v>
      </c>
      <c r="AJ39" s="96" t="n">
        <v>204000</v>
      </c>
      <c r="AK39" s="100" t="n">
        <v>0</v>
      </c>
      <c r="AL39" s="100" t="n">
        <v>0</v>
      </c>
      <c r="AM39" s="100" t="n">
        <v>0</v>
      </c>
      <c r="AN39" s="100" t="n">
        <v>0</v>
      </c>
      <c r="AO39" s="100" t="n">
        <v>0</v>
      </c>
      <c r="AP39" s="100" t="n">
        <v>0</v>
      </c>
      <c r="AQ39" s="96" t="n">
        <v>204000</v>
      </c>
      <c r="AR39" s="100" t="n">
        <v>0</v>
      </c>
      <c r="AS39" s="97" t="n">
        <v>135000</v>
      </c>
      <c r="AT39" s="100" t="n">
        <v>0</v>
      </c>
      <c r="AU39" s="100" t="n">
        <v>0</v>
      </c>
      <c r="AV39" s="100" t="n">
        <v>0</v>
      </c>
      <c r="AW39" s="100" t="n">
        <v>0</v>
      </c>
      <c r="AX39" s="100" t="n">
        <v>0</v>
      </c>
      <c r="AY39" s="100" t="n">
        <v>0</v>
      </c>
      <c r="AZ39" s="100" t="n">
        <v>0</v>
      </c>
      <c r="BA39" s="100" t="n">
        <v>0</v>
      </c>
      <c r="BB39" s="100" t="n">
        <v>0</v>
      </c>
    </row>
    <row r="40" ht="20" customHeight="1">
      <c r="A40" s="87" t="inlineStr">
        <is>
          <t>Căn 03 Marina Retails, Phân khu 8 thuộc dự án Hoa Sen Đại Phước, , X.Đại Phước, Đồng Nai</t>
        </is>
      </c>
      <c r="B40" s="88" t="inlineStr">
        <is>
          <t>Family Căn 03 Marina Retails, Swanbay</t>
        </is>
      </c>
      <c r="C40" s="88" t="inlineStr"/>
      <c r="D40" s="87" t="inlineStr"/>
      <c r="E40" s="88" t="inlineStr">
        <is>
          <t>SR</t>
        </is>
      </c>
      <c r="F40" s="89" t="n">
        <v>16302700</v>
      </c>
      <c r="G40" s="90">
        <f>SUM(I40:BB40)</f>
        <v/>
      </c>
      <c r="H40" s="91">
        <f>IF(F40&gt;0, G40/F40, 0)</f>
        <v/>
      </c>
      <c r="I40" s="93" t="n">
        <v>0</v>
      </c>
      <c r="J40" s="93" t="n">
        <v>0</v>
      </c>
      <c r="K40" s="93" t="n">
        <v>0</v>
      </c>
      <c r="L40" s="93" t="n">
        <v>0</v>
      </c>
      <c r="M40" s="93" t="n">
        <v>0</v>
      </c>
      <c r="N40" s="93" t="n">
        <v>0</v>
      </c>
      <c r="O40" s="93" t="n">
        <v>0</v>
      </c>
      <c r="P40" s="93" t="n">
        <v>0</v>
      </c>
      <c r="Q40" s="93" t="n">
        <v>0</v>
      </c>
      <c r="R40" s="93" t="n">
        <v>0</v>
      </c>
      <c r="S40" s="93" t="n">
        <v>0</v>
      </c>
      <c r="T40" s="93" t="n">
        <v>0</v>
      </c>
      <c r="U40" s="93" t="n">
        <v>0</v>
      </c>
      <c r="V40" s="93" t="n">
        <v>0</v>
      </c>
      <c r="W40" s="93" t="n">
        <v>0</v>
      </c>
      <c r="X40" s="93" t="n">
        <v>0</v>
      </c>
      <c r="Y40" s="93" t="n">
        <v>0</v>
      </c>
      <c r="Z40" s="93" t="n">
        <v>0</v>
      </c>
      <c r="AA40" s="93" t="n">
        <v>0</v>
      </c>
      <c r="AB40" s="93" t="n">
        <v>0</v>
      </c>
      <c r="AC40" s="93" t="n">
        <v>0</v>
      </c>
      <c r="AD40" s="93" t="n">
        <v>0</v>
      </c>
      <c r="AE40" s="93" t="n">
        <v>0</v>
      </c>
      <c r="AF40" s="93" t="n">
        <v>0</v>
      </c>
      <c r="AG40" s="93" t="n">
        <v>0</v>
      </c>
      <c r="AH40" s="93" t="n">
        <v>0</v>
      </c>
      <c r="AI40" s="93" t="n">
        <v>0</v>
      </c>
      <c r="AJ40" s="93" t="n">
        <v>0</v>
      </c>
      <c r="AK40" s="93" t="n">
        <v>0</v>
      </c>
      <c r="AL40" s="93" t="n">
        <v>0</v>
      </c>
      <c r="AM40" s="93" t="n">
        <v>0</v>
      </c>
      <c r="AN40" s="93" t="n">
        <v>0</v>
      </c>
      <c r="AO40" s="93" t="n">
        <v>0</v>
      </c>
      <c r="AP40" s="93" t="n">
        <v>0</v>
      </c>
      <c r="AQ40" s="93" t="n">
        <v>0</v>
      </c>
      <c r="AR40" s="93" t="n">
        <v>0</v>
      </c>
      <c r="AS40" s="93" t="n">
        <v>0</v>
      </c>
      <c r="AT40" s="93" t="n">
        <v>0</v>
      </c>
      <c r="AU40" s="93" t="n">
        <v>0</v>
      </c>
      <c r="AV40" s="93" t="n">
        <v>0</v>
      </c>
      <c r="AW40" s="93" t="n">
        <v>0</v>
      </c>
      <c r="AX40" s="93" t="n">
        <v>0</v>
      </c>
      <c r="AY40" s="93" t="n">
        <v>0</v>
      </c>
      <c r="AZ40" s="93" t="n">
        <v>0</v>
      </c>
      <c r="BA40" s="93" t="n">
        <v>0</v>
      </c>
      <c r="BB40" s="93" t="n">
        <v>0</v>
      </c>
    </row>
    <row r="41" ht="26" customHeight="1">
      <c r="A41" s="102" t="inlineStr">
        <is>
          <t>TỔNG CỘNG (35 CỬA HÀNG FAMILYMART)</t>
        </is>
      </c>
      <c r="B41" s="107" t="n"/>
      <c r="C41" s="107" t="n"/>
      <c r="D41" s="107" t="n"/>
      <c r="E41" s="108" t="n"/>
      <c r="F41" s="103">
        <f>SUBTOTAL(9, F6:F40)</f>
        <v/>
      </c>
      <c r="G41" s="104">
        <f>SUBTOTAL(9, G6:G40)</f>
        <v/>
      </c>
      <c r="H41" s="105">
        <f>IF(F41&gt;0, G41/F41, 0)</f>
        <v/>
      </c>
      <c r="I41" s="106">
        <f>SUBTOTAL(9, I6:I40)</f>
        <v/>
      </c>
      <c r="J41" s="106">
        <f>SUBTOTAL(9, J6:J40)</f>
        <v/>
      </c>
      <c r="K41" s="106">
        <f>SUBTOTAL(9, K6:K40)</f>
        <v/>
      </c>
      <c r="L41" s="106">
        <f>SUBTOTAL(9, L6:L40)</f>
        <v/>
      </c>
      <c r="M41" s="106">
        <f>SUBTOTAL(9, M6:M40)</f>
        <v/>
      </c>
      <c r="N41" s="106">
        <f>SUBTOTAL(9, N6:N40)</f>
        <v/>
      </c>
      <c r="O41" s="106">
        <f>SUBTOTAL(9, O6:O40)</f>
        <v/>
      </c>
      <c r="P41" s="106">
        <f>SUBTOTAL(9, P6:P40)</f>
        <v/>
      </c>
      <c r="Q41" s="106">
        <f>SUBTOTAL(9, Q6:Q40)</f>
        <v/>
      </c>
      <c r="R41" s="106">
        <f>SUBTOTAL(9, R6:R40)</f>
        <v/>
      </c>
      <c r="S41" s="106">
        <f>SUBTOTAL(9, S6:S40)</f>
        <v/>
      </c>
      <c r="T41" s="106">
        <f>SUBTOTAL(9, T6:T40)</f>
        <v/>
      </c>
      <c r="U41" s="106">
        <f>SUBTOTAL(9, U6:U40)</f>
        <v/>
      </c>
      <c r="V41" s="106">
        <f>SUBTOTAL(9, V6:V40)</f>
        <v/>
      </c>
      <c r="W41" s="106">
        <f>SUBTOTAL(9, W6:W40)</f>
        <v/>
      </c>
      <c r="X41" s="106">
        <f>SUBTOTAL(9, X6:X40)</f>
        <v/>
      </c>
      <c r="Y41" s="106">
        <f>SUBTOTAL(9, Y6:Y40)</f>
        <v/>
      </c>
      <c r="Z41" s="106">
        <f>SUBTOTAL(9, Z6:Z40)</f>
        <v/>
      </c>
      <c r="AA41" s="106">
        <f>SUBTOTAL(9, AA6:AA40)</f>
        <v/>
      </c>
      <c r="AB41" s="106">
        <f>SUBTOTAL(9, AB6:AB40)</f>
        <v/>
      </c>
      <c r="AC41" s="106">
        <f>SUBTOTAL(9, AC6:AC40)</f>
        <v/>
      </c>
      <c r="AD41" s="106">
        <f>SUBTOTAL(9, AD6:AD40)</f>
        <v/>
      </c>
      <c r="AE41" s="106">
        <f>SUBTOTAL(9, AE6:AE40)</f>
        <v/>
      </c>
      <c r="AF41" s="106">
        <f>SUBTOTAL(9, AF6:AF40)</f>
        <v/>
      </c>
      <c r="AG41" s="106">
        <f>SUBTOTAL(9, AG6:AG40)</f>
        <v/>
      </c>
      <c r="AH41" s="106">
        <f>SUBTOTAL(9, AH6:AH40)</f>
        <v/>
      </c>
      <c r="AI41" s="106">
        <f>SUBTOTAL(9, AI6:AI40)</f>
        <v/>
      </c>
      <c r="AJ41" s="106">
        <f>SUBTOTAL(9, AJ6:AJ40)</f>
        <v/>
      </c>
      <c r="AK41" s="106">
        <f>SUBTOTAL(9, AK6:AK40)</f>
        <v/>
      </c>
      <c r="AL41" s="106">
        <f>SUBTOTAL(9, AL6:AL40)</f>
        <v/>
      </c>
      <c r="AM41" s="106">
        <f>SUBTOTAL(9, AM6:AM40)</f>
        <v/>
      </c>
      <c r="AN41" s="106">
        <f>SUBTOTAL(9, AN6:AN40)</f>
        <v/>
      </c>
      <c r="AO41" s="106">
        <f>SUBTOTAL(9, AO6:AO40)</f>
        <v/>
      </c>
      <c r="AP41" s="106">
        <f>SUBTOTAL(9, AP6:AP40)</f>
        <v/>
      </c>
      <c r="AQ41" s="106">
        <f>SUBTOTAL(9, AQ6:AQ40)</f>
        <v/>
      </c>
      <c r="AR41" s="106">
        <f>SUBTOTAL(9, AR6:AR40)</f>
        <v/>
      </c>
      <c r="AS41" s="106">
        <f>SUBTOTAL(9, AS6:AS40)</f>
        <v/>
      </c>
      <c r="AT41" s="106">
        <f>SUBTOTAL(9, AT6:AT40)</f>
        <v/>
      </c>
      <c r="AU41" s="106">
        <f>SUBTOTAL(9, AU6:AU40)</f>
        <v/>
      </c>
      <c r="AV41" s="106">
        <f>SUBTOTAL(9, AV6:AV40)</f>
        <v/>
      </c>
      <c r="AW41" s="106">
        <f>SUBTOTAL(9, AW6:AW40)</f>
        <v/>
      </c>
      <c r="AX41" s="106">
        <f>SUBTOTAL(9, AX6:AX40)</f>
        <v/>
      </c>
      <c r="AY41" s="106">
        <f>SUBTOTAL(9, AY6:AY40)</f>
        <v/>
      </c>
      <c r="AZ41" s="106">
        <f>SUBTOTAL(9, AZ6:AZ40)</f>
        <v/>
      </c>
      <c r="BA41" s="106">
        <f>SUBTOTAL(9, BA6:BA40)</f>
        <v/>
      </c>
      <c r="BB41" s="106">
        <f>SUBTOTAL(9, BB6:BB40)</f>
        <v/>
      </c>
    </row>
  </sheetData>
  <autoFilter ref="A5:BB40"/>
  <mergeCells count="10">
    <mergeCell ref="A4:E4"/>
    <mergeCell ref="A1:L1"/>
    <mergeCell ref="A41:E41"/>
    <mergeCell ref="AS4:BB4"/>
    <mergeCell ref="O4:T4"/>
    <mergeCell ref="F4:H4"/>
    <mergeCell ref="AI4:AR4"/>
    <mergeCell ref="AD4:AH4"/>
    <mergeCell ref="U4:AC4"/>
    <mergeCell ref="I4:N4"/>
  </mergeCells>
  <conditionalFormatting sqref="H6:H40">
    <cfRule type="cellIs" priority="1" operator="greaterThanOrEqual" dxfId="0" stopIfTrue="1">
      <formula>0.4667</formula>
    </cfRule>
    <cfRule type="cellIs" priority="2" operator="between" dxfId="1" stopIfTrue="1">
      <formula>0.35</formula>
      <formula>0.4667</formula>
    </cfRule>
    <cfRule type="cellIs" priority="3" operator="lessThan" dxfId="2" stopIfTrue="1">
      <formula>0.35</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2026-09-14T08:37:53Z</dcterms:created>
  <dcterms:modified xsi:type="dcterms:W3CDTF">2026-09-14T10:30:54Z</dcterms:modified>
</cp:coreProperties>
</file>